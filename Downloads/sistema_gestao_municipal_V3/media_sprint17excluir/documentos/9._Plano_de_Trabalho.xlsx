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4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2"/>
    <sheet name="PESSOAL CLT - 12 meses" sheetId="2" state="visible" r:id="rId3"/>
    <sheet name="CLT 10 meses" sheetId="3" state="visible" r:id="rId4"/>
    <sheet name="SERVIÇOS DE TERCEIROS" sheetId="4" state="visible" r:id="rId5"/>
    <sheet name="M. Consumo" sheetId="5" state="visible" r:id="rId6"/>
    <sheet name="C. Indiretos" sheetId="6" state="visible" r:id="rId7"/>
    <sheet name="Investimentos" sheetId="7" state="visible" r:id="rId8"/>
  </sheets>
  <definedNames>
    <definedName function="false" hidden="false" localSheetId="2" name="_xlnm.Print_Area" vbProcedure="false">'CLT 10 meses'!$A$1:$U$21</definedName>
    <definedName function="false" hidden="false" localSheetId="4" name="_xlnm.Print_Area" vbProcedure="false">'M. Consumo'!$A$1:$E$8</definedName>
    <definedName function="false" hidden="false" localSheetId="1" name="_xlnm.Print_Area" vbProcedure="false">'PESSOAL CLT - 12 meses'!$A$1:$U$26</definedName>
    <definedName function="false" hidden="false" localSheetId="3" name="_xlnm.Print_Area" vbProcedure="false">'SERVIÇOS DE TERCEIROS'!$A$1:$G$26</definedName>
    <definedName function="false" hidden="false" localSheetId="1" name="_xlnm.Print_Area" vbProcedure="false">'PESSOAL CLT - 12 meses'!$A$1:$U$26</definedName>
    <definedName function="false" hidden="false" localSheetId="1" name="_xlnm.Print_Area_0" vbProcedure="false">'PESSOAL CLT - 12 meses'!$A$1:$U$26</definedName>
    <definedName function="false" hidden="false" localSheetId="2" name="_xlnm.Print_Area" vbProcedure="false">'CLT 10 meses'!$A$1:$U$21</definedName>
    <definedName function="false" hidden="false" localSheetId="2" name="_xlnm.Print_Area_0" vbProcedure="false">'CLT 10 meses'!$A$1:$U$21</definedName>
    <definedName function="false" hidden="false" localSheetId="3" name="_xlnm.Print_Area" vbProcedure="false">'SERVIÇOS DE TERCEIROS'!$A$1:$G$26</definedName>
    <definedName function="false" hidden="false" localSheetId="3" name="_xlnm.Print_Area_0" vbProcedure="false">'SERVIÇOS DE TERCEIROS'!$A$1:$G$26</definedName>
    <definedName function="false" hidden="false" localSheetId="4" name="_xlnm.Print_Area" vbProcedure="false">'M. Consumo'!$A$1:$E$8</definedName>
    <definedName function="false" hidden="false" localSheetId="4" name="_xlnm.Print_Area_0" vbProcedure="false">'M. Consumo'!$A$1:$E$8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<sst xmlns="http://schemas.openxmlformats.org/spreadsheetml/2006/main" count="311" uniqueCount="226">
  <si>
    <r>
      <rPr>
        <b val="true"/>
        <sz val="14"/>
        <rFont val="Times New Roman"/>
        <family val="1"/>
        <charset val="1"/>
      </rPr>
      <t xml:space="preserve">PREFEITURA MUNICIPAL DE CONTAGEM  
</t>
    </r>
    <r>
      <rPr>
        <sz val="12"/>
        <rFont val="Arial"/>
        <family val="2"/>
        <charset val="1"/>
      </rPr>
      <t xml:space="preserve">Secretaria Municipal de Desenvolvimento Social</t>
    </r>
  </si>
  <si>
    <t xml:space="preserve">PLANO DE TRABALHO DO TERMO DE FOMENTO Nº 003/2019 – PROCESSO ADMINISTRATIVO Nº 019/2019/SMDS – EMENDA Nº 012/2019</t>
  </si>
  <si>
    <t xml:space="preserve">1.1 SECRETARIA GESTORA DA POLÍTICA PÚBLICA</t>
  </si>
  <si>
    <t xml:space="preserve">Secretaria Municipal de Desenvolvimento Social</t>
  </si>
  <si>
    <t xml:space="preserve">Endereço</t>
  </si>
  <si>
    <t xml:space="preserve">Bairro</t>
  </si>
  <si>
    <t xml:space="preserve">Rua Portugal, nº 20</t>
  </si>
  <si>
    <t xml:space="preserve">Glória</t>
  </si>
  <si>
    <t xml:space="preserve">Cidade</t>
  </si>
  <si>
    <t xml:space="preserve">U.F.</t>
  </si>
  <si>
    <t xml:space="preserve">CEP</t>
  </si>
  <si>
    <t xml:space="preserve">DDD/Fone</t>
  </si>
  <si>
    <t xml:space="preserve">Contagem</t>
  </si>
  <si>
    <t xml:space="preserve">MG</t>
  </si>
  <si>
    <t xml:space="preserve">32.340-010</t>
  </si>
  <si>
    <t xml:space="preserve">(031) 3392-1508</t>
  </si>
  <si>
    <t xml:space="preserve">1.1.1 GESTOR (es) DA PARCERIA</t>
  </si>
  <si>
    <r>
      <rPr>
        <b val="true"/>
        <sz val="11"/>
        <color rgb="FF00000A"/>
        <rFont val="Times New Roman"/>
        <family val="1"/>
        <charset val="1"/>
      </rPr>
      <t xml:space="preserve">Bruno Eustáquio Pinheiro da Silva</t>
    </r>
    <r>
      <rPr>
        <b val="true"/>
        <sz val="11"/>
        <rFont val="Times New Roman"/>
        <family val="1"/>
        <charset val="1"/>
      </rPr>
      <t xml:space="preserve">, matrícula 513734</t>
    </r>
  </si>
  <si>
    <t xml:space="preserve">1.2 OSC – ORGANIZAÇÃO DA SOCIEDADE CIVIL</t>
  </si>
  <si>
    <t xml:space="preserve">Nome</t>
  </si>
  <si>
    <t xml:space="preserve">CNPJ</t>
  </si>
  <si>
    <t xml:space="preserve">Associação dos Moradores do Bairro Novo Progresso II- AMONP</t>
  </si>
  <si>
    <t xml:space="preserve">16.684.664/0001-57</t>
  </si>
  <si>
    <t xml:space="preserve">Rua Gonçalves Dias, 320</t>
  </si>
  <si>
    <t xml:space="preserve">Novo Progresso</t>
  </si>
  <si>
    <t xml:space="preserve">32140-610</t>
  </si>
  <si>
    <t xml:space="preserve">3362-3143</t>
  </si>
  <si>
    <t xml:space="preserve">Banco</t>
  </si>
  <si>
    <t xml:space="preserve">AGENCIA</t>
  </si>
  <si>
    <t xml:space="preserve">C.C</t>
  </si>
  <si>
    <t xml:space="preserve">e-mail:</t>
  </si>
  <si>
    <t xml:space="preserve">2465-2</t>
  </si>
  <si>
    <t xml:space="preserve">financeiro@amnp.org</t>
  </si>
  <si>
    <t xml:space="preserve">1.2.1 DIRIGENTE</t>
  </si>
  <si>
    <t xml:space="preserve">Nome do Responsável</t>
  </si>
  <si>
    <t xml:space="preserve">C.P.F</t>
  </si>
  <si>
    <t xml:space="preserve">Paulo Roberto da Silva</t>
  </si>
  <si>
    <t xml:space="preserve">653.986.026-91</t>
  </si>
  <si>
    <t xml:space="preserve">R.G./Orgão Expedidor</t>
  </si>
  <si>
    <t xml:space="preserve">Cargo</t>
  </si>
  <si>
    <t xml:space="preserve">Período de Mandato</t>
  </si>
  <si>
    <t xml:space="preserve">MG-3.357.869 SSP/MG</t>
  </si>
  <si>
    <t xml:space="preserve">Presidente</t>
  </si>
  <si>
    <t xml:space="preserve">18/02/2017 a 18/02/2021</t>
  </si>
  <si>
    <t xml:space="preserve">Rua 136, nº 490</t>
  </si>
  <si>
    <t xml:space="preserve">Jardim Laguna</t>
  </si>
  <si>
    <t xml:space="preserve">Telefone</t>
  </si>
  <si>
    <t xml:space="preserve">32.140-000</t>
  </si>
  <si>
    <t xml:space="preserve">98637-0707</t>
  </si>
  <si>
    <t xml:space="preserve">Email</t>
  </si>
  <si>
    <t xml:space="preserve">amonp.institucional@gmail.com</t>
  </si>
  <si>
    <t xml:space="preserve">Paulo Roberto da Silva
CPF: 653.986.026-91</t>
  </si>
  <si>
    <t xml:space="preserve">2. DESCRIÇÃO DO OBJETO A SER EXECUTADO</t>
  </si>
  <si>
    <t xml:space="preserve">2.1 DESCRIÇÃO DO OBJETO</t>
  </si>
  <si>
    <t xml:space="preserve">Título do Projeto</t>
  </si>
  <si>
    <t xml:space="preserve">Período de Execução</t>
  </si>
  <si>
    <t xml:space="preserve">Projeto Arte de Viver II</t>
  </si>
  <si>
    <t xml:space="preserve">Inicio</t>
  </si>
  <si>
    <t xml:space="preserve">Fim</t>
  </si>
  <si>
    <t xml:space="preserve">Identificação do Objeto</t>
  </si>
  <si>
    <t xml:space="preserve">Execução do Projeto Social Arte de Viver II - que prevê o desenvolvimento de ações de convivência para crianças, adolescentes, idosos e respectivas famílias em situação de vulnerabilidade social .</t>
  </si>
  <si>
    <t xml:space="preserve">3.JUSTIFICATIVA DA PROPOSIÇÃO</t>
  </si>
  <si>
    <t xml:space="preserve">O projeto proposto: Arte de Viver II organiza-se em grupos de modo a ampliar as trocas culturais e de vivências entre os usuários, assim como desenvolver o seu sentimento de pertença e de identidade. Como estratégia para prevenir situações de vulnerabilidade, violência e risco social o trabalho com grupos, a partir de faixas etárias e considerando as especificidades dos ciclos de vida, estimula as trocas culturais e o compartilhamento de vivências sempre sob a perspectiva de incentivar a socialização e a convivência familiar e comunitária.
A proposta de Termo de Fomento apresentada propõe ações que buscam promover bons encontros, que fortaleçam a potência de agir impulsionando a ação para enfrentar situações conflituosas, alterar condições de subordinação, estabelecer diálogos, desejar e atuar por um mundo mais digno e mais justo. Enfim, promover mudanças em que haja corresponsabilidade entre a ação das políticas sociais e os sujeitos usuários.
</t>
  </si>
  <si>
    <t xml:space="preserve">4. ABRANGÊNCIA</t>
  </si>
  <si>
    <t xml:space="preserve">Regionais: Nacional; Ressaca; Eldorado e Vargem das Flores.</t>
  </si>
  <si>
    <t xml:space="preserve">5. PUBLICO ALVO / BENEFICIÁRIOS</t>
  </si>
  <si>
    <r>
      <rPr>
        <sz val="10"/>
        <rFont val="Times New Roman"/>
        <family val="1"/>
        <charset val="1"/>
      </rPr>
      <t xml:space="preserve">Famílias em situação de vulnerabilidade social decorrente da pobreza, do precário ou nulo acesso aos serviços públicos, da fragilização de vínculos de pertencimento e sociabilidade e/ou qualquer outra situação de vulnerabilidade e risco social residentes nos territórios de abrangência:
- Famílias beneficiárias de programas de transferência de renda e benefícios assistenciais;
- Famílias que atendem os critérios de elegibilidade a tais programas ou benefícios, mas que ainda não foram contempladas;
- Famílias em situação de vulnerabilidade em decorrência de dificuldades vivenciadas por algum de seus membros;
- Pessoas com deficiência e/ou pessoas idosas que vivenciam situações de vulnerabilidade e risco social. 
</t>
    </r>
    <r>
      <rPr>
        <sz val="11"/>
        <rFont val="Times New Roman"/>
        <family val="1"/>
        <charset val="1"/>
      </rPr>
      <t xml:space="preserve">
</t>
    </r>
    <r>
      <rPr>
        <sz val="11"/>
        <rFont val="Calibri"/>
        <family val="2"/>
        <charset val="1"/>
      </rPr>
      <t xml:space="preserve">
</t>
    </r>
  </si>
  <si>
    <t xml:space="preserve">6. PÉRIODO DE EXECUÇÃO</t>
  </si>
  <si>
    <t xml:space="preserve">12 meses a partir da publicação do extrato do termo no diário oficial</t>
  </si>
  <si>
    <t xml:space="preserve">7. RESULTADOS/PRODUTOS ESPERADOS/IMPACTOS PREVISTOS</t>
  </si>
  <si>
    <r>
      <rPr>
        <sz val="11"/>
        <color rgb="FF000000"/>
        <rFont val="Times New Roman"/>
        <family val="1"/>
        <charset val="1"/>
      </rPr>
      <t xml:space="preserve">Prevenir situações de vulnerabilidade social pautado nas ações de defesa dos direitos, promoção da cidadania e desenvolvimento das capacidades e potencialidades de cada indivíduo;
</t>
    </r>
    <r>
      <rPr>
        <sz val="11"/>
        <rFont val="Times New Roman"/>
        <family val="1"/>
        <charset val="1"/>
      </rPr>
      <t xml:space="preserve">Favorecer o desenvolvimento de atividades intergeracionais propiciando trocas de experiências e vivências;
Prevenir a institucionalização e a segregação de crianças, adolescentes, idosos e pessoas com deficiência, assegurando o direito à convivência familiar e comunitária;
Assegurar espaços de referência para o convívio grupal, comunitário e social e o desenvolvimento de relações de afetividade, solidariedade e respeito mútuo.
</t>
    </r>
  </si>
  <si>
    <t xml:space="preserve">8. METAS E ETAPAS</t>
  </si>
  <si>
    <t xml:space="preserve">8.1- METAS</t>
  </si>
  <si>
    <t xml:space="preserve">N.º</t>
  </si>
  <si>
    <t xml:space="preserve">META</t>
  </si>
  <si>
    <t xml:space="preserve">QUANTIDADE</t>
  </si>
  <si>
    <t xml:space="preserve">INDICADOR DE CUMPRIMENTO DA META FÍSICA</t>
  </si>
  <si>
    <t xml:space="preserve">Ofertar atendimento aos usuários inscritos no projeto</t>
  </si>
  <si>
    <t xml:space="preserve">Número de usuários atendidos no projeto</t>
  </si>
  <si>
    <t xml:space="preserve">Ofertar de oficinas de ginastica e alongamento, ritmos, hidroginástica, geração de renda, pilates, futsal, basquete inclusivo, de convivência para idosos</t>
  </si>
  <si>
    <t xml:space="preserve">8 oficinas/mês</t>
  </si>
  <si>
    <t xml:space="preserve">86 oficinas/ano</t>
  </si>
  <si>
    <t xml:space="preserve">Realizar encontros socioeducativos e rodas de conversas com temáticas transversais</t>
  </si>
  <si>
    <t xml:space="preserve">5 encontros/mês</t>
  </si>
  <si>
    <t xml:space="preserve">50 encontros/ano</t>
  </si>
  <si>
    <t xml:space="preserve">8.2 CRONOGRAMA DE EXECUÇÃO</t>
  </si>
  <si>
    <t xml:space="preserve">AÇÃO</t>
  </si>
  <si>
    <t xml:space="preserve">UNIDADE</t>
  </si>
  <si>
    <t xml:space="preserve">QTDE</t>
  </si>
  <si>
    <t xml:space="preserve">Cadastro dos usuários e famílias</t>
  </si>
  <si>
    <t xml:space="preserve">BENEFICIÁRIOS</t>
  </si>
  <si>
    <t xml:space="preserve">Seleção de Profissionais; Criar as regras de convívio entre usuários e equipe</t>
  </si>
  <si>
    <t xml:space="preserve">PROFISSIONAIS</t>
  </si>
  <si>
    <t xml:space="preserve">Prestação de contas</t>
  </si>
  <si>
    <t xml:space="preserve">Oficinas de ginástica e alongamento; Oficina de ritmos; Oficina de hidroginástica; Oficina de geração de renda; Oficina de Pilates; Oficina de Futsal; Oficina de basquete inclusivo e Oficina de Convivência para idosos.</t>
  </si>
  <si>
    <t xml:space="preserve">OFICINAS/MÊS</t>
  </si>
  <si>
    <t xml:space="preserve">Grupos de reflexões para trabalhar temas transversais; Trabalhos em grupo sobre convívio familiar/autonomia.</t>
  </si>
  <si>
    <t xml:space="preserve">ENCONTROS/MÊS</t>
  </si>
  <si>
    <t xml:space="preserve">8.3 PLANO DE APLICAÇÃO DETALHADA DOS RECURSOS POR RUBRICA</t>
  </si>
  <si>
    <t xml:space="preserve">DESCRIÇÃO DA DESPESA</t>
  </si>
  <si>
    <t xml:space="preserve">VALOR MENSAL</t>
  </si>
  <si>
    <t xml:space="preserve">VALOR TOTAL
 DA DESPESA</t>
  </si>
  <si>
    <t xml:space="preserve">PESSOAL E ENCARGOS 
(ANEXO I)</t>
  </si>
  <si>
    <t xml:space="preserve">Pagamento de Remunerações (13º Salário, Adicional de Férias, Férias, Aviso Prévio Indenizado)</t>
  </si>
  <si>
    <t xml:space="preserve">Pagamento de Encargos Sociais, Tributos e Benefícios (INSS, FGTS, PIS/PASEP, Ausência Remunerada, Licenças, Vale Transporte e Outros Benefícios)</t>
  </si>
  <si>
    <t xml:space="preserve">SERVIÇOS DE TERCEIROS
 PESSOA JURÍDICA
 (ANEXO II)</t>
  </si>
  <si>
    <t xml:space="preserve">Ofcineiros/ Serviços Contábeis/ Locação de Impressora/ Locação de Imóvel </t>
  </si>
  <si>
    <t xml:space="preserve">MATERIAL DE CONSUMO 
(ANEXO III)</t>
  </si>
  <si>
    <t xml:space="preserve">CUSTOS INDIRETOS 
(ANEXO IV)</t>
  </si>
  <si>
    <t xml:space="preserve">ASO - Admissional e Demissional</t>
  </si>
  <si>
    <t xml:space="preserve">INVESTIMENTO
 (ANEXO V)</t>
  </si>
  <si>
    <t xml:space="preserve">-</t>
  </si>
  <si>
    <t xml:space="preserve">VALOR GLOBAL</t>
  </si>
  <si>
    <t xml:space="preserve">8.4 – INDICADORES, DOCUMENTOS E OUTROS MEIOS A SEREM UTILIZADOS PARA A AFERIÇÃO DO CUMPRIMENTO DAS METAS</t>
  </si>
  <si>
    <t xml:space="preserve">A efetividade quantitativa e qualitativa será verficada através de listas de presença, cadastros, registros fotográficos, Relatórios das atividades ministradas e pesquisas de opinião junto aos usuários.</t>
  </si>
  <si>
    <t xml:space="preserve">9. PREVISÃO DE RECEITAS E A ESTIMATIVA DE DESPESAS A SEREM REALIZADAS NA EXECUÇÃO DAS AÇÕES, INCLUINDO OS ENCARGOS SOCIAIS E TRABALHISTAS E A DISCRIMINAÇÃO DOS CUSTOS INDIRETOS NECESSÁRIOS À EXECUÇÃO DO OBJETO</t>
  </si>
  <si>
    <t xml:space="preserve">Previsão de receita: Emenda Parlamentar Municipal
Estimativa de despesas: 
1) ANEXO I - DETALHAMENTO DA FORMAÇÃO DO CUSTO DE PESSOAL;
2) ANEXO II - DETALHAMENTO DA FORMAÇÃO DOS CUSTOS DOS SERVIÇOS DE TERCEIROS;
3) ANEXO III - DETALHAMENTO DA FORMAÇÃO DOS CUSTOS DOS MATERIAIS DE CONSUMO;
4) ANEXO IV - DETALHAMENTO DA FORMAÇÃO DOS CUSTOS INDIRETOS.
5) ANEXO V - DETALHAMENTO DA FORMAÇÃO DOS CUSTOS DE INVESTIMENTO</t>
  </si>
  <si>
    <t xml:space="preserve">10. DESEMBOLSO FINANCEIRO</t>
  </si>
  <si>
    <t xml:space="preserve">ENTE</t>
  </si>
  <si>
    <t xml:space="preserve">CONCEDENTE</t>
  </si>
  <si>
    <t xml:space="preserve">PROPONENTE</t>
  </si>
  <si>
    <t xml:space="preserve">QTDE DE PARCELAS</t>
  </si>
  <si>
    <t xml:space="preserve">NATUREZA</t>
  </si>
  <si>
    <t xml:space="preserve">PREVISÃO DE REPASSE</t>
  </si>
  <si>
    <t xml:space="preserve">VALOR DA PARCELA (R$)</t>
  </si>
  <si>
    <t xml:space="preserve">MUNICIPAL</t>
  </si>
  <si>
    <t xml:space="preserve">TOTAL</t>
  </si>
  <si>
    <t xml:space="preserve">Identificação da Despesa</t>
  </si>
  <si>
    <t xml:space="preserve">Classificação Orçamentária</t>
  </si>
  <si>
    <t xml:space="preserve">1101.08.244.0072.2234 – 33504300 – FONTE 5100</t>
  </si>
  <si>
    <t xml:space="preserve">Os valores serão repassados de acordo com o cronograma de desembolso compatível com os gastos das etapas vinculadas às metas do cronograma físico.</t>
  </si>
  <si>
    <t xml:space="preserve">11. CRONOGRAMA DE CONTRA PARTIDA</t>
  </si>
  <si>
    <t xml:space="preserve">Conforme Art 35 da Lei 13019/2014, § 1o  não será exigida 
contrapartida financeira como requisito para celebração de parceria.</t>
  </si>
  <si>
    <t xml:space="preserve">12. PRESTAÇÃO DE CONTAS PARCIAL</t>
  </si>
  <si>
    <r>
      <rPr>
        <sz val="10.5"/>
        <color rgb="FF000000"/>
        <rFont val="Times New Roman"/>
        <family val="1"/>
        <charset val="1"/>
      </rPr>
      <t xml:space="preserve">As prestações de contas deverão ser apresentadas mensalmente conforme estabelecido pelo Manual de prestação de contas da CGM e as regras estabelecidas no Termo de Parceria.
</t>
    </r>
    <r>
      <rPr>
        <b val="true"/>
        <sz val="10.5"/>
        <color rgb="FF000000"/>
        <rFont val="Times New Roman"/>
        <family val="1"/>
        <charset val="1"/>
      </rPr>
      <t xml:space="preserve">RELATÓRIO DE CUMPRIMENTO META FÍSICA</t>
    </r>
    <r>
      <rPr>
        <sz val="10.5"/>
        <color rgb="FF000000"/>
        <rFont val="Times New Roman"/>
        <family val="1"/>
        <charset val="1"/>
      </rPr>
      <t xml:space="preserve">: encaminhamento de comprovações de cumprimento de metas. 
</t>
    </r>
    <r>
      <rPr>
        <b val="true"/>
        <sz val="10.5"/>
        <color rgb="FF000000"/>
        <rFont val="Times New Roman"/>
        <family val="1"/>
        <charset val="1"/>
      </rPr>
      <t xml:space="preserve">RELATÓRIO DE CUMPRIMENTO DA META FINANCEIRA:</t>
    </r>
    <r>
      <rPr>
        <sz val="10.5"/>
        <color rgb="FF000000"/>
        <rFont val="Times New Roman"/>
        <family val="1"/>
        <charset val="1"/>
      </rPr>
      <t xml:space="preserve"> de acordo com o cronograma de desembolso e em conformidade com o Manual de Prestação de Contas da Controladoria Geral do Município. 
</t>
    </r>
    <r>
      <rPr>
        <b val="true"/>
        <sz val="10.5"/>
        <color rgb="FF000000"/>
        <rFont val="Times New Roman"/>
        <family val="1"/>
        <charset val="1"/>
      </rPr>
      <t xml:space="preserve">RELATÓRIO DE PRESTAÇÃO DE CONTAS FINAL</t>
    </r>
    <r>
      <rPr>
        <sz val="10.5"/>
        <color rgb="FF000000"/>
        <rFont val="Times New Roman"/>
        <family val="1"/>
        <charset val="1"/>
      </rPr>
      <t xml:space="preserve">: em conformidade com o Manual de Prestação de Contas da Controladoria Geral do Município</t>
    </r>
  </si>
  <si>
    <t xml:space="preserve">13. APROVAÇÃO DO PLANO DE TRABALHO PELA PMC</t>
  </si>
  <si>
    <t xml:space="preserve">DECLARAMOS que foi analisado o conteúdo do PLANO DE TRABALHO, aprovamos e autorizamos a execução dos procedimentos operacionais detalhados no mesmo, que será vinculado ao PROCESSO Nº 019/2019 - SMDS.</t>
  </si>
  <si>
    <t xml:space="preserve">Contagem, 30 de maio de 2019.</t>
  </si>
  <si>
    <t xml:space="preserve">Bruno Eustáquio Pinheiro da Silva, matrícula 513734</t>
  </si>
  <si>
    <t xml:space="preserve">Luzia Maria Ferreira</t>
  </si>
  <si>
    <t xml:space="preserve">Gestor da Parceria</t>
  </si>
  <si>
    <t xml:space="preserve">Secretária de Desenvolvimento Social</t>
  </si>
  <si>
    <t xml:space="preserve">ANEXO I - DETALHAMENTO DA FORMAÇÃO DO CUSTO DE PESSOAL (CLT)</t>
  </si>
  <si>
    <t xml:space="preserve">DETALHAMENTO DE GASTO COM PESSOAL (12 meses)</t>
  </si>
  <si>
    <t xml:space="preserve">CARGO</t>
  </si>
  <si>
    <t xml:space="preserve">REMUNERAÇÃO</t>
  </si>
  <si>
    <t xml:space="preserve">ENCARGOS SOCIAIS E BENEFICIOS</t>
  </si>
  <si>
    <t xml:space="preserve">CUSTO TOTAL </t>
  </si>
  <si>
    <t xml:space="preserve">SALÁRIO</t>
  </si>
  <si>
    <t xml:space="preserve">13º SALÁRIO</t>
  </si>
  <si>
    <t xml:space="preserve">Férias</t>
  </si>
  <si>
    <t xml:space="preserve">Férias - 1/3</t>
  </si>
  <si>
    <t xml:space="preserve">Sub.Total 
REMUNERAÇÃO</t>
  </si>
  <si>
    <t xml:space="preserve">FGTS 8%</t>
  </si>
  <si>
    <t xml:space="preserve">Multa 50% 
FGTS</t>
  </si>
  <si>
    <t xml:space="preserve">INSS 20% Cota Patronal</t>
  </si>
  <si>
    <t xml:space="preserve">INSS 4,5% terceiros</t>
  </si>
  <si>
    <t xml:space="preserve">INSS 1% SAT</t>
  </si>
  <si>
    <t xml:space="preserve">PIS 1%</t>
  </si>
  <si>
    <t xml:space="preserve">Seguro 
de vida</t>
  </si>
  <si>
    <t xml:space="preserve">Plano 
odonto</t>
  </si>
  <si>
    <t xml:space="preserve">Plano de saúde</t>
  </si>
  <si>
    <t xml:space="preserve">VT</t>
  </si>
  <si>
    <t xml:space="preserve">Uniforme</t>
  </si>
  <si>
    <t xml:space="preserve">Vale Alimentação (9,00 por dia)</t>
  </si>
  <si>
    <t xml:space="preserve">Total dos encargos</t>
  </si>
  <si>
    <t xml:space="preserve">Coordenadora de Cursos e Oficinas</t>
  </si>
  <si>
    <t xml:space="preserve">Auxiliar Administrativo</t>
  </si>
  <si>
    <t xml:space="preserve">Psicologa</t>
  </si>
  <si>
    <t xml:space="preserve">Recepcionista</t>
  </si>
  <si>
    <t xml:space="preserve">Analista de Projetos</t>
  </si>
  <si>
    <t xml:space="preserve">Serviços Gerais</t>
  </si>
  <si>
    <t xml:space="preserve">Educador Físico I</t>
  </si>
  <si>
    <t xml:space="preserve">Educador Físico II</t>
  </si>
  <si>
    <t xml:space="preserve">Educadora Social</t>
  </si>
  <si>
    <t xml:space="preserve">Educador Físico III</t>
  </si>
  <si>
    <t xml:space="preserve">Coordenadora Administrativa</t>
  </si>
  <si>
    <t xml:space="preserve">Analista Social</t>
  </si>
  <si>
    <t xml:space="preserve">TOTAL MENSAL</t>
  </si>
  <si>
    <t xml:space="preserve">TOTAL EM 12 MESES</t>
  </si>
  <si>
    <t xml:space="preserve">NOTAS EXPLICATIVAS: </t>
  </si>
  <si>
    <t xml:space="preserve">QUANT</t>
  </si>
  <si>
    <t xml:space="preserve">DETALHAMENTO DE GASTO COM PESSOAL (10 meses)</t>
  </si>
  <si>
    <t xml:space="preserve">Orientador Social</t>
  </si>
  <si>
    <t xml:space="preserve">Auxiliar administrativo I</t>
  </si>
  <si>
    <t xml:space="preserve">Assistente Administrativo</t>
  </si>
  <si>
    <t xml:space="preserve">ANEXO II - DETALHAMENTO DA FORMAÇÃO DO CUSTO DE SERVIÇOS DE TERCEIROS</t>
  </si>
  <si>
    <t xml:space="preserve">DETALHAMENTO DE GASTO COM SERVIÇOS DE TERCEIROS</t>
  </si>
  <si>
    <t xml:space="preserve">N.</t>
  </si>
  <si>
    <t xml:space="preserve">Descrição</t>
  </si>
  <si>
    <t xml:space="preserve">Quantidade</t>
  </si>
  <si>
    <t xml:space="preserve">Valor 
Unitário</t>
  </si>
  <si>
    <t xml:space="preserve">Total Mensal</t>
  </si>
  <si>
    <t xml:space="preserve">QTDE DE MESES</t>
  </si>
  <si>
    <t xml:space="preserve">Total</t>
  </si>
  <si>
    <t xml:space="preserve">Oficineiros</t>
  </si>
  <si>
    <t xml:space="preserve">Serviços contábeis</t>
  </si>
  <si>
    <t xml:space="preserve">Locação de Impressora</t>
  </si>
  <si>
    <t xml:space="preserve">Locação de Imóvel</t>
  </si>
  <si>
    <t xml:space="preserve">Total dos Custos com Serviços de Terceiros</t>
  </si>
  <si>
    <t xml:space="preserve">Contratação de prestadores de serviço por RPA/e ou MEI para ministrar oficinas diversas, de acordo com o planejamento da OSC .</t>
  </si>
  <si>
    <t xml:space="preserve">Serviços contábeis (execução contábil da parceria e encerramento contábil)</t>
  </si>
  <si>
    <t xml:space="preserve">Locação de Impressora para a execução do projeto.</t>
  </si>
  <si>
    <t xml:space="preserve">4, 5, 6, 7</t>
  </si>
  <si>
    <t xml:space="preserve">Locação de Imóveis (Regional Ressaca, Eldorado, Nacional e Vargem das Flores) para execução do projeto nas regionais.</t>
  </si>
  <si>
    <t xml:space="preserve">ANEXO III - DETALHAMENTO DA FORMAÇÃO DO CUSTO DE MATERIAIS DE CONSUMO</t>
  </si>
  <si>
    <t xml:space="preserve">DETALHAMENTO DE GASTO COM MATERIAIS DE CONSUMO</t>
  </si>
  <si>
    <t xml:space="preserve">DESCRIÇÃO</t>
  </si>
  <si>
    <t xml:space="preserve">Total </t>
  </si>
  <si>
    <t xml:space="preserve">Material de escritório / material gráfico e divulgação (banners, folders, revistas)/ premiações esportivas/ material esportivo(medalhas, troféus)/ material de proteção, segurança, socorro e sobrevivência/ fraldas descartáveis/ materiais elétricos, hidráulicos e de construção/ material de acondicionamento e embalagem/ material de higiene e limpeza/ descartáveis (copos, pratos, talheres, bandejas, guardanapos)/ material didático pedagógico e oficinas / suprimentos de informática / Vestuário/ Gás de cozinha P45. </t>
  </si>
  <si>
    <t xml:space="preserve">Aquisição de lanches</t>
  </si>
  <si>
    <t xml:space="preserve">Custo Total com Materiais de Consumo</t>
  </si>
  <si>
    <t xml:space="preserve">NOTAS EXPLICATIVAS:</t>
  </si>
  <si>
    <t xml:space="preserve">Materiais de consumo para a execução do projeto no período de 12 meses.</t>
  </si>
  <si>
    <t xml:space="preserve">ANEXO IV - DETALHAMENTO DA FORMAÇÃO DOS CUSTO INDIRETOS</t>
  </si>
  <si>
    <t xml:space="preserve">DETALHAMENTO DE CUSTOS INDIRETOS</t>
  </si>
  <si>
    <t xml:space="preserve">Média Mensal</t>
  </si>
  <si>
    <t xml:space="preserve">Total Anual</t>
  </si>
  <si>
    <t xml:space="preserve">Serviços de Departamento Pessoal e Medicina do Trabalho</t>
  </si>
  <si>
    <t xml:space="preserve">Manutenção veículo / combustível / lubrificante / 
peças automotivas / seguro de veículo/ pneus/ 
Rastreadores de veículos. </t>
  </si>
  <si>
    <t xml:space="preserve">Água/ Luz / Telefone fixo e móvel/ Internet / Seguros</t>
  </si>
  <si>
    <t xml:space="preserve">Total dos Custos Indiretos</t>
  </si>
  <si>
    <t xml:space="preserve">Combustível e manutenção do veículo da OSC para acompanhar os projetos nas regionais</t>
  </si>
  <si>
    <t xml:space="preserve">ANEXO V - DETALHAMENTO DA FORMAÇÃO DOS INVESTIMENTOS</t>
  </si>
  <si>
    <t xml:space="preserve">DETALHAMENTO DOS MÓVEIS, MAQUINAS E EQUIPAMENTOS</t>
  </si>
  <si>
    <t xml:space="preserve">Total dos Custos Com Investimentos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</si>
</sst>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DD/MM/YYYY"/>
    <numFmt numFmtId="167" formatCode="0%"/>
    <numFmt numFmtId="168" formatCode="* #,##0.00\ ;\-* #,##0.00\ ;* \-#\ ;@\ "/>
    <numFmt numFmtId="169" formatCode="&quot; R$ &quot;* #,##0.00\ ;&quot;-R$ &quot;* #,##0.00\ ;&quot; R$ &quot;* \-#\ ;@\ "/>
    <numFmt numFmtId="170" formatCode="MMM/YYYY"/>
    <numFmt numFmtId="171" formatCode="_-&quot;R$ &quot;* #,##0.00_-;&quot;-R$ &quot;* #,##0.00_-;_-&quot;R$ &quot;* \-??_-;_-@_-"/>
    <numFmt numFmtId="172" formatCode="0.00"/>
    <numFmt numFmtId="173" formatCode="&quot; R$&quot;* #,##0.00\ ;&quot; R$&quot;* \(#,##0.00\);&quot; R$&quot;* \-#\ ;@\ "/>
    <numFmt numFmtId="174" formatCode="[$R$-416]\ #,##0.00;[RED]\-[$R$-416]\ #,##0.00"/>
    <numFmt numFmtId="175" formatCode="#,##0.00"/>
  </numFmts>
  <fonts count="4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Arial"/>
      <family val="2"/>
      <charset val="1"/>
    </font>
    <font>
      <b val="true"/>
      <sz val="10.5"/>
      <name val="Arial"/>
      <family val="2"/>
      <charset val="1"/>
    </font>
    <font>
      <b val="true"/>
      <sz val="14"/>
      <name val="Times New Roman"/>
      <family val="1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.5"/>
      <color rgb="FF00000A"/>
      <name val="Arial"/>
      <family val="2"/>
      <charset val="1"/>
    </font>
    <font>
      <b val="true"/>
      <sz val="11"/>
      <color rgb="FF00000A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color rgb="FF0000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.5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1"/>
      <name val="Calibri"/>
      <family val="2"/>
      <charset val="1"/>
    </font>
    <font>
      <sz val="11"/>
      <color rgb="FF000000"/>
      <name val="Times New Roman"/>
      <family val="1"/>
      <charset val="1"/>
    </font>
    <font>
      <b val="true"/>
      <sz val="11"/>
      <color rgb="FF00000A"/>
      <name val="Arial"/>
      <family val="2"/>
      <charset val="1"/>
    </font>
    <font>
      <sz val="10.5"/>
      <color rgb="FF000000"/>
      <name val="Times New Roman"/>
      <family val="1"/>
      <charset val="1"/>
    </font>
    <font>
      <b val="true"/>
      <sz val="10.5"/>
      <color rgb="FF000000"/>
      <name val="Times New Roman"/>
      <family val="1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i val="true"/>
      <sz val="14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8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DDD9C3"/>
      </patternFill>
    </fill>
    <fill>
      <patternFill patternType="solid">
        <fgColor rgb="FFF2F2F2"/>
        <bgColor rgb="FFE8E8E8"/>
      </patternFill>
    </fill>
    <fill>
      <patternFill patternType="solid">
        <fgColor rgb="FFD9D9D9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F2F2F2"/>
      </patternFill>
    </fill>
    <fill>
      <patternFill patternType="solid">
        <fgColor rgb="FFDDD9C3"/>
        <bgColor rgb="FFD9D9D9"/>
      </patternFill>
    </fill>
    <fill>
      <patternFill patternType="solid">
        <fgColor rgb="FFDDDDDD"/>
        <bgColor rgb="FFD9D9D9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thin"/>
      <top style="medium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thin"/>
      <top style="hair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1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4" borderId="9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21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5" fillId="4" borderId="1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5" xfId="21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4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7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5" xfId="21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4" borderId="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7" xfId="21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21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2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2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2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6" borderId="24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7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7" xfId="21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25" xfId="21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2" fillId="0" borderId="1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4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4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4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4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8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8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0" fillId="7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0" fillId="8" borderId="4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4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4" borderId="15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34" fillId="7" borderId="15" xfId="15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30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4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4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0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37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3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4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17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4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5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3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0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2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5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5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0" borderId="3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33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4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7" fillId="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2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5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5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7" fillId="0" borderId="2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7" fillId="0" borderId="3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2" borderId="9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2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6" fillId="2" borderId="5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4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9" fontId="37" fillId="0" borderId="4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5" borderId="3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8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9" fillId="8" borderId="54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37" fillId="0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15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6" fillId="2" borderId="54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194040</xdr:colOff>
      <xdr:row>0</xdr:row>
      <xdr:rowOff>51480</xdr:rowOff>
    </xdr:from>
    <xdr:to>
      <xdr:col>1</xdr:col>
      <xdr:colOff>333000</xdr:colOff>
      <xdr:row>0</xdr:row>
      <xdr:rowOff>1000800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194040" y="51480"/>
          <a:ext cx="924840" cy="9493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inanceiro@amnp.org" TargetMode="External"/><Relationship Id="rId2" Type="http://schemas.openxmlformats.org/officeDocument/2006/relationships/hyperlink" Target="mailto:amonp.institucional@gmail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120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V13" activeCellId="0" sqref="V13"/>
    </sheetView>
  </sheetViews>
  <sheetFormatPr defaultRowHeight="13.2" zeroHeight="false" outlineLevelRow="0" outlineLevelCol="0"/>
  <cols>
    <col collapsed="false" customWidth="true" hidden="false" outlineLevel="0" max="1" min="1" style="1" width="11.14"/>
    <col collapsed="false" customWidth="true" hidden="false" outlineLevel="0" max="3" min="2" style="2" width="7.41"/>
    <col collapsed="false" customWidth="true" hidden="false" outlineLevel="0" max="5" min="4" style="2" width="14.69"/>
    <col collapsed="false" customWidth="true" hidden="false" outlineLevel="0" max="6" min="6" style="2" width="14.57"/>
    <col collapsed="false" customWidth="true" hidden="false" outlineLevel="0" max="7" min="7" style="2" width="14.86"/>
    <col collapsed="false" customWidth="true" hidden="false" outlineLevel="0" max="8" min="8" style="2" width="16.29"/>
    <col collapsed="false" customWidth="true" hidden="false" outlineLevel="0" max="9" min="9" style="2" width="8"/>
    <col collapsed="false" customWidth="true" hidden="false" outlineLevel="0" max="10" min="10" style="2" width="9.71"/>
    <col collapsed="false" customWidth="true" hidden="false" outlineLevel="0" max="1023" min="11" style="2" width="8.57"/>
    <col collapsed="false" customWidth="true" hidden="false" outlineLevel="0" max="1025" min="1024" style="3" width="8.57"/>
  </cols>
  <sheetData>
    <row r="1" s="7" customFormat="true" ht="79.55" hidden="false" customHeight="true" outlineLevel="0" collapsed="false">
      <c r="A1" s="4"/>
      <c r="B1" s="4"/>
      <c r="C1" s="5" t="s">
        <v>0</v>
      </c>
      <c r="D1" s="5"/>
      <c r="E1" s="5"/>
      <c r="F1" s="5"/>
      <c r="G1" s="6" t="s">
        <v>1</v>
      </c>
      <c r="H1" s="6"/>
      <c r="I1" s="6"/>
      <c r="J1" s="6"/>
      <c r="AMJ1" s="8"/>
    </row>
    <row r="2" customFormat="false" ht="28.35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8.35" hidden="false" customHeight="true" outlineLevel="0" collapsed="false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15.3" hidden="false" customHeight="true" outlineLevel="0" collapsed="false">
      <c r="A4" s="11" t="s">
        <v>4</v>
      </c>
      <c r="B4" s="11"/>
      <c r="C4" s="11"/>
      <c r="D4" s="11"/>
      <c r="E4" s="11"/>
      <c r="F4" s="11"/>
      <c r="G4" s="11" t="s">
        <v>5</v>
      </c>
      <c r="H4" s="11"/>
      <c r="I4" s="11"/>
      <c r="J4" s="11"/>
    </row>
    <row r="5" customFormat="false" ht="28.35" hidden="false" customHeight="true" outlineLevel="0" collapsed="false">
      <c r="A5" s="12" t="s">
        <v>6</v>
      </c>
      <c r="B5" s="12"/>
      <c r="C5" s="12"/>
      <c r="D5" s="12"/>
      <c r="E5" s="12"/>
      <c r="F5" s="12"/>
      <c r="G5" s="12" t="s">
        <v>7</v>
      </c>
      <c r="H5" s="12"/>
      <c r="I5" s="12"/>
      <c r="J5" s="12"/>
    </row>
    <row r="6" customFormat="false" ht="14.65" hidden="false" customHeight="true" outlineLevel="0" collapsed="false">
      <c r="A6" s="11" t="s">
        <v>8</v>
      </c>
      <c r="B6" s="11"/>
      <c r="C6" s="11"/>
      <c r="D6" s="11"/>
      <c r="E6" s="11" t="s">
        <v>9</v>
      </c>
      <c r="F6" s="11" t="s">
        <v>10</v>
      </c>
      <c r="G6" s="11"/>
      <c r="H6" s="11" t="s">
        <v>11</v>
      </c>
      <c r="I6" s="11"/>
      <c r="J6" s="11"/>
    </row>
    <row r="7" customFormat="false" ht="28.35" hidden="false" customHeight="true" outlineLevel="0" collapsed="false">
      <c r="A7" s="13" t="s">
        <v>12</v>
      </c>
      <c r="B7" s="13"/>
      <c r="C7" s="13"/>
      <c r="D7" s="13"/>
      <c r="E7" s="13" t="s">
        <v>13</v>
      </c>
      <c r="F7" s="13" t="s">
        <v>14</v>
      </c>
      <c r="G7" s="13"/>
      <c r="H7" s="13" t="s">
        <v>15</v>
      </c>
      <c r="I7" s="13"/>
      <c r="J7" s="13"/>
    </row>
    <row r="8" customFormat="false" ht="28.35" hidden="false" customHeight="true" outlineLevel="0" collapsed="false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</row>
    <row r="9" customFormat="false" ht="13.2" hidden="false" customHeight="false" outlineLevel="0" collapsed="false">
      <c r="A9" s="15" t="s">
        <v>17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38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28.35" hidden="false" customHeight="true" outlineLevel="0" collapsed="false">
      <c r="A11" s="9" t="s">
        <v>18</v>
      </c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.3" hidden="false" customHeight="true" outlineLevel="0" collapsed="false">
      <c r="A12" s="16" t="s">
        <v>19</v>
      </c>
      <c r="B12" s="16"/>
      <c r="C12" s="16"/>
      <c r="D12" s="16"/>
      <c r="E12" s="16"/>
      <c r="F12" s="16"/>
      <c r="G12" s="16" t="s">
        <v>20</v>
      </c>
      <c r="H12" s="16"/>
      <c r="I12" s="16"/>
      <c r="J12" s="16"/>
    </row>
    <row r="13" customFormat="false" ht="28.35" hidden="false" customHeight="true" outlineLevel="0" collapsed="false">
      <c r="A13" s="17" t="s">
        <v>21</v>
      </c>
      <c r="B13" s="17"/>
      <c r="C13" s="17"/>
      <c r="D13" s="17"/>
      <c r="E13" s="17"/>
      <c r="F13" s="17"/>
      <c r="G13" s="17" t="s">
        <v>22</v>
      </c>
      <c r="H13" s="17"/>
      <c r="I13" s="17"/>
      <c r="J13" s="17"/>
    </row>
    <row r="14" customFormat="false" ht="12.65" hidden="false" customHeight="true" outlineLevel="0" collapsed="false">
      <c r="A14" s="11" t="s">
        <v>4</v>
      </c>
      <c r="B14" s="11"/>
      <c r="C14" s="11"/>
      <c r="D14" s="11"/>
      <c r="E14" s="11"/>
      <c r="F14" s="11"/>
      <c r="G14" s="11" t="s">
        <v>5</v>
      </c>
      <c r="H14" s="11"/>
      <c r="I14" s="11"/>
      <c r="J14" s="11"/>
    </row>
    <row r="15" customFormat="false" ht="28.35" hidden="false" customHeight="true" outlineLevel="0" collapsed="false">
      <c r="A15" s="17" t="s">
        <v>23</v>
      </c>
      <c r="B15" s="17"/>
      <c r="C15" s="17"/>
      <c r="D15" s="17"/>
      <c r="E15" s="17"/>
      <c r="F15" s="17"/>
      <c r="G15" s="17" t="s">
        <v>24</v>
      </c>
      <c r="H15" s="17"/>
      <c r="I15" s="17"/>
      <c r="J15" s="17"/>
    </row>
    <row r="16" customFormat="false" ht="12.65" hidden="false" customHeight="true" outlineLevel="0" collapsed="false">
      <c r="A16" s="11" t="s">
        <v>8</v>
      </c>
      <c r="B16" s="11"/>
      <c r="C16" s="11"/>
      <c r="D16" s="11" t="s">
        <v>9</v>
      </c>
      <c r="E16" s="11" t="s">
        <v>10</v>
      </c>
      <c r="F16" s="11"/>
      <c r="G16" s="11" t="s">
        <v>11</v>
      </c>
      <c r="H16" s="11"/>
      <c r="I16" s="11"/>
      <c r="J16" s="11"/>
    </row>
    <row r="17" customFormat="false" ht="28.35" hidden="false" customHeight="true" outlineLevel="0" collapsed="false">
      <c r="A17" s="17" t="s">
        <v>12</v>
      </c>
      <c r="B17" s="17"/>
      <c r="C17" s="17"/>
      <c r="D17" s="17" t="s">
        <v>13</v>
      </c>
      <c r="E17" s="18" t="s">
        <v>25</v>
      </c>
      <c r="F17" s="18"/>
      <c r="G17" s="17" t="s">
        <v>26</v>
      </c>
      <c r="H17" s="17"/>
      <c r="I17" s="17"/>
      <c r="J17" s="17"/>
    </row>
    <row r="18" customFormat="false" ht="12.65" hidden="false" customHeight="true" outlineLevel="0" collapsed="false">
      <c r="A18" s="11" t="s">
        <v>27</v>
      </c>
      <c r="B18" s="11"/>
      <c r="C18" s="11"/>
      <c r="D18" s="11" t="s">
        <v>28</v>
      </c>
      <c r="E18" s="11" t="s">
        <v>29</v>
      </c>
      <c r="F18" s="11"/>
      <c r="G18" s="17" t="s">
        <v>30</v>
      </c>
      <c r="H18" s="17"/>
      <c r="I18" s="17"/>
      <c r="J18" s="17"/>
    </row>
    <row r="19" customFormat="false" ht="28.35" hidden="false" customHeight="true" outlineLevel="0" collapsed="false">
      <c r="A19" s="17" t="n">
        <v>104</v>
      </c>
      <c r="B19" s="17"/>
      <c r="C19" s="17"/>
      <c r="D19" s="17" t="n">
        <v>2940</v>
      </c>
      <c r="E19" s="17" t="s">
        <v>31</v>
      </c>
      <c r="F19" s="17"/>
      <c r="G19" s="19" t="s">
        <v>32</v>
      </c>
      <c r="H19" s="19"/>
      <c r="I19" s="19"/>
      <c r="J19" s="19"/>
    </row>
    <row r="20" customFormat="false" ht="28.35" hidden="false" customHeight="true" outlineLevel="0" collapsed="false">
      <c r="A20" s="20" t="s">
        <v>33</v>
      </c>
      <c r="B20" s="20"/>
      <c r="C20" s="20"/>
      <c r="D20" s="20"/>
      <c r="E20" s="20"/>
      <c r="F20" s="20"/>
      <c r="G20" s="20"/>
      <c r="H20" s="20"/>
      <c r="I20" s="20"/>
      <c r="J20" s="20"/>
    </row>
    <row r="21" customFormat="false" ht="12.75" hidden="false" customHeight="true" outlineLevel="0" collapsed="false">
      <c r="A21" s="21" t="s">
        <v>34</v>
      </c>
      <c r="B21" s="21"/>
      <c r="C21" s="21"/>
      <c r="D21" s="21"/>
      <c r="E21" s="21"/>
      <c r="F21" s="21"/>
      <c r="G21" s="21" t="s">
        <v>35</v>
      </c>
      <c r="H21" s="21"/>
      <c r="I21" s="21"/>
      <c r="J21" s="21"/>
    </row>
    <row r="22" customFormat="false" ht="28.35" hidden="false" customHeight="true" outlineLevel="0" collapsed="false">
      <c r="A22" s="17" t="s">
        <v>36</v>
      </c>
      <c r="B22" s="17"/>
      <c r="C22" s="17"/>
      <c r="D22" s="17"/>
      <c r="E22" s="17"/>
      <c r="F22" s="17"/>
      <c r="G22" s="17" t="s">
        <v>37</v>
      </c>
      <c r="H22" s="17"/>
      <c r="I22" s="17"/>
      <c r="J22" s="17"/>
    </row>
    <row r="23" customFormat="false" ht="12.75" hidden="false" customHeight="true" outlineLevel="0" collapsed="false">
      <c r="A23" s="22" t="s">
        <v>38</v>
      </c>
      <c r="B23" s="22"/>
      <c r="C23" s="22"/>
      <c r="D23" s="22"/>
      <c r="E23" s="23" t="s">
        <v>39</v>
      </c>
      <c r="F23" s="23"/>
      <c r="G23" s="11" t="s">
        <v>40</v>
      </c>
      <c r="H23" s="11"/>
      <c r="I23" s="11"/>
      <c r="J23" s="11"/>
    </row>
    <row r="24" customFormat="false" ht="28.35" hidden="false" customHeight="true" outlineLevel="0" collapsed="false">
      <c r="A24" s="24" t="s">
        <v>41</v>
      </c>
      <c r="B24" s="24"/>
      <c r="C24" s="24"/>
      <c r="D24" s="24"/>
      <c r="E24" s="17" t="s">
        <v>42</v>
      </c>
      <c r="F24" s="17"/>
      <c r="G24" s="17" t="s">
        <v>43</v>
      </c>
      <c r="H24" s="17"/>
      <c r="I24" s="17"/>
      <c r="J24" s="17"/>
    </row>
    <row r="25" customFormat="false" ht="12.75" hidden="false" customHeight="true" outlineLevel="0" collapsed="false">
      <c r="A25" s="11" t="s">
        <v>4</v>
      </c>
      <c r="B25" s="11"/>
      <c r="C25" s="11"/>
      <c r="D25" s="11"/>
      <c r="E25" s="11"/>
      <c r="F25" s="11"/>
      <c r="G25" s="11" t="s">
        <v>5</v>
      </c>
      <c r="H25" s="11"/>
      <c r="I25" s="11"/>
      <c r="J25" s="11"/>
    </row>
    <row r="26" customFormat="false" ht="28.35" hidden="false" customHeight="true" outlineLevel="0" collapsed="false">
      <c r="A26" s="12" t="s">
        <v>44</v>
      </c>
      <c r="B26" s="12"/>
      <c r="C26" s="12"/>
      <c r="D26" s="12"/>
      <c r="E26" s="12"/>
      <c r="F26" s="12"/>
      <c r="G26" s="17" t="s">
        <v>45</v>
      </c>
      <c r="H26" s="17"/>
      <c r="I26" s="17"/>
      <c r="J26" s="17"/>
    </row>
    <row r="27" customFormat="false" ht="12.75" hidden="false" customHeight="true" outlineLevel="0" collapsed="false">
      <c r="A27" s="11" t="s">
        <v>8</v>
      </c>
      <c r="B27" s="11"/>
      <c r="C27" s="11"/>
      <c r="D27" s="11" t="s">
        <v>9</v>
      </c>
      <c r="E27" s="11" t="s">
        <v>10</v>
      </c>
      <c r="F27" s="11"/>
      <c r="G27" s="11" t="s">
        <v>46</v>
      </c>
      <c r="H27" s="11"/>
      <c r="I27" s="11"/>
      <c r="J27" s="11"/>
    </row>
    <row r="28" customFormat="false" ht="28.35" hidden="false" customHeight="true" outlineLevel="0" collapsed="false">
      <c r="A28" s="17" t="s">
        <v>12</v>
      </c>
      <c r="B28" s="17"/>
      <c r="C28" s="17"/>
      <c r="D28" s="17" t="s">
        <v>13</v>
      </c>
      <c r="E28" s="17" t="s">
        <v>47</v>
      </c>
      <c r="F28" s="17"/>
      <c r="G28" s="17" t="s">
        <v>48</v>
      </c>
      <c r="H28" s="17"/>
      <c r="I28" s="17"/>
      <c r="J28" s="17"/>
    </row>
    <row r="29" customFormat="false" ht="12.6" hidden="false" customHeight="true" outlineLevel="0" collapsed="false">
      <c r="A29" s="11" t="s">
        <v>49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28.35" hidden="false" customHeight="true" outlineLevel="0" collapsed="false">
      <c r="A30" s="25" t="s">
        <v>50</v>
      </c>
      <c r="B30" s="25"/>
      <c r="C30" s="25"/>
      <c r="D30" s="25"/>
      <c r="E30" s="25"/>
      <c r="F30" s="25"/>
      <c r="G30" s="25"/>
      <c r="H30" s="25"/>
      <c r="I30" s="25"/>
      <c r="J30" s="25"/>
    </row>
    <row r="31" customFormat="false" ht="22.7" hidden="false" customHeight="true" outlineLevel="0" collapsed="false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customFormat="false" ht="22.7" hidden="false" customHeight="true" outlineLevel="0" collapsed="false">
      <c r="A32" s="29"/>
      <c r="B32" s="30"/>
      <c r="C32" s="30"/>
      <c r="D32" s="30"/>
      <c r="E32" s="30"/>
      <c r="F32" s="30"/>
      <c r="G32" s="30"/>
      <c r="H32" s="30"/>
      <c r="I32" s="30"/>
      <c r="J32" s="31"/>
    </row>
    <row r="33" customFormat="false" ht="22.7" hidden="false" customHeight="true" outlineLevel="0" collapsed="false">
      <c r="A33" s="29"/>
      <c r="B33" s="30"/>
      <c r="C33" s="30"/>
      <c r="D33" s="30"/>
      <c r="E33" s="30"/>
      <c r="F33" s="30"/>
      <c r="G33" s="30"/>
      <c r="H33" s="30"/>
      <c r="I33" s="30"/>
      <c r="J33" s="31"/>
    </row>
    <row r="34" customFormat="false" ht="22.7" hidden="false" customHeight="true" outlineLevel="0" collapsed="false">
      <c r="A34" s="29"/>
      <c r="B34" s="30"/>
      <c r="C34" s="30"/>
      <c r="D34" s="30"/>
      <c r="E34" s="30"/>
      <c r="F34" s="30"/>
      <c r="G34" s="30"/>
      <c r="H34" s="30"/>
      <c r="I34" s="30"/>
      <c r="J34" s="31"/>
    </row>
    <row r="35" customFormat="false" ht="36.6" hidden="false" customHeight="true" outlineLevel="0" collapsed="false">
      <c r="A35" s="29"/>
      <c r="B35" s="30"/>
      <c r="C35" s="30"/>
      <c r="D35" s="30"/>
      <c r="E35" s="30"/>
      <c r="F35" s="30"/>
      <c r="G35" s="30"/>
      <c r="H35" s="30"/>
      <c r="I35" s="30"/>
      <c r="J35" s="31"/>
    </row>
    <row r="36" customFormat="false" ht="22.7" hidden="false" customHeight="true" outlineLevel="0" collapsed="false">
      <c r="A36" s="29"/>
      <c r="B36" s="30"/>
      <c r="C36" s="30"/>
      <c r="D36" s="30"/>
      <c r="E36" s="30"/>
      <c r="F36" s="30"/>
      <c r="G36" s="30"/>
      <c r="H36" s="30"/>
      <c r="I36" s="30"/>
      <c r="J36" s="31"/>
    </row>
    <row r="37" customFormat="false" ht="22.7" hidden="false" customHeight="true" outlineLevel="0" collapsed="false">
      <c r="A37" s="29"/>
      <c r="B37" s="30"/>
      <c r="C37" s="30"/>
      <c r="D37" s="30"/>
      <c r="E37" s="30"/>
      <c r="F37" s="30"/>
      <c r="G37" s="30"/>
      <c r="H37" s="30"/>
      <c r="I37" s="30"/>
      <c r="J37" s="31"/>
    </row>
    <row r="38" customFormat="false" ht="22.7" hidden="false" customHeight="true" outlineLevel="0" collapsed="false">
      <c r="B38" s="32"/>
      <c r="C38" s="33"/>
      <c r="D38" s="33"/>
      <c r="E38" s="33"/>
      <c r="F38" s="33"/>
      <c r="G38" s="33"/>
      <c r="H38" s="33"/>
      <c r="I38" s="32"/>
      <c r="J38" s="3"/>
    </row>
    <row r="39" customFormat="false" ht="33.3" hidden="false" customHeight="true" outlineLevel="0" collapsed="false">
      <c r="A39" s="34" t="s">
        <v>51</v>
      </c>
      <c r="B39" s="34"/>
      <c r="C39" s="34"/>
      <c r="D39" s="34"/>
      <c r="E39" s="34"/>
      <c r="F39" s="34"/>
      <c r="G39" s="34"/>
      <c r="H39" s="34"/>
      <c r="I39" s="34"/>
      <c r="J39" s="34"/>
    </row>
    <row r="40" customFormat="false" ht="28.35" hidden="false" customHeight="true" outlineLevel="0" collapsed="false">
      <c r="A40" s="35" t="s">
        <v>52</v>
      </c>
      <c r="B40" s="35"/>
      <c r="C40" s="35"/>
      <c r="D40" s="35"/>
      <c r="E40" s="35"/>
      <c r="F40" s="35"/>
      <c r="G40" s="35"/>
      <c r="H40" s="35"/>
      <c r="I40" s="35"/>
      <c r="J40" s="35"/>
    </row>
    <row r="41" customFormat="false" ht="28.35" hidden="false" customHeight="true" outlineLevel="0" collapsed="false">
      <c r="A41" s="20" t="s">
        <v>53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3.15" hidden="false" customHeight="true" outlineLevel="0" collapsed="false">
      <c r="A42" s="36" t="s">
        <v>54</v>
      </c>
      <c r="B42" s="36"/>
      <c r="C42" s="36"/>
      <c r="D42" s="36"/>
      <c r="E42" s="36"/>
      <c r="F42" s="37" t="s">
        <v>55</v>
      </c>
      <c r="G42" s="37"/>
      <c r="H42" s="37"/>
      <c r="I42" s="37"/>
      <c r="J42" s="37"/>
    </row>
    <row r="43" customFormat="false" ht="13.15" hidden="false" customHeight="true" outlineLevel="0" collapsed="false">
      <c r="A43" s="38" t="s">
        <v>56</v>
      </c>
      <c r="B43" s="38"/>
      <c r="C43" s="38"/>
      <c r="D43" s="38"/>
      <c r="E43" s="38"/>
      <c r="F43" s="39" t="s">
        <v>57</v>
      </c>
      <c r="G43" s="39"/>
      <c r="H43" s="39" t="s">
        <v>58</v>
      </c>
      <c r="I43" s="39"/>
      <c r="J43" s="39"/>
    </row>
    <row r="44" customFormat="false" ht="17.3" hidden="false" customHeight="true" outlineLevel="0" collapsed="false">
      <c r="A44" s="38"/>
      <c r="B44" s="38"/>
      <c r="C44" s="38"/>
      <c r="D44" s="38"/>
      <c r="E44" s="38"/>
      <c r="F44" s="40" t="n">
        <v>43624</v>
      </c>
      <c r="G44" s="40"/>
      <c r="H44" s="40" t="n">
        <v>43989</v>
      </c>
      <c r="I44" s="40"/>
      <c r="J44" s="40"/>
    </row>
    <row r="45" customFormat="false" ht="20" hidden="false" customHeight="true" outlineLevel="0" collapsed="false">
      <c r="A45" s="41" t="s">
        <v>59</v>
      </c>
      <c r="B45" s="41"/>
      <c r="C45" s="41"/>
      <c r="D45" s="41"/>
      <c r="E45" s="41"/>
      <c r="F45" s="41"/>
      <c r="G45" s="41"/>
      <c r="H45" s="41"/>
      <c r="I45" s="41"/>
      <c r="J45" s="41"/>
    </row>
    <row r="46" customFormat="false" ht="48.6" hidden="false" customHeight="true" outlineLevel="0" collapsed="false">
      <c r="A46" s="42" t="s">
        <v>60</v>
      </c>
      <c r="B46" s="42"/>
      <c r="C46" s="42"/>
      <c r="D46" s="42"/>
      <c r="E46" s="42"/>
      <c r="F46" s="42"/>
      <c r="G46" s="42"/>
      <c r="H46" s="42"/>
      <c r="I46" s="42"/>
      <c r="J46" s="42"/>
    </row>
    <row r="47" customFormat="false" ht="28.35" hidden="false" customHeight="true" outlineLevel="0" collapsed="false">
      <c r="A47" s="43" t="s">
        <v>61</v>
      </c>
      <c r="B47" s="43"/>
      <c r="C47" s="43"/>
      <c r="D47" s="43"/>
      <c r="E47" s="43"/>
      <c r="F47" s="43"/>
      <c r="G47" s="43"/>
      <c r="H47" s="43"/>
      <c r="I47" s="43"/>
      <c r="J47" s="43"/>
    </row>
    <row r="48" customFormat="false" ht="126" hidden="false" customHeight="true" outlineLevel="0" collapsed="false">
      <c r="A48" s="44" t="s">
        <v>62</v>
      </c>
      <c r="B48" s="44"/>
      <c r="C48" s="44"/>
      <c r="D48" s="44"/>
      <c r="E48" s="44"/>
      <c r="F48" s="44"/>
      <c r="G48" s="44"/>
      <c r="H48" s="44"/>
      <c r="I48" s="44"/>
      <c r="J48" s="44"/>
    </row>
    <row r="49" customFormat="false" ht="28.65" hidden="false" customHeight="true" outlineLevel="0" collapsed="false">
      <c r="A49" s="45" t="s">
        <v>63</v>
      </c>
      <c r="B49" s="45"/>
      <c r="C49" s="45"/>
      <c r="D49" s="45"/>
      <c r="E49" s="45"/>
      <c r="F49" s="45"/>
      <c r="G49" s="45"/>
      <c r="H49" s="45"/>
      <c r="I49" s="45"/>
      <c r="J49" s="45"/>
    </row>
    <row r="50" customFormat="false" ht="32.25" hidden="false" customHeight="true" outlineLevel="0" collapsed="false">
      <c r="A50" s="46" t="s">
        <v>64</v>
      </c>
      <c r="B50" s="46"/>
      <c r="C50" s="46"/>
      <c r="D50" s="46"/>
      <c r="E50" s="46"/>
      <c r="F50" s="46"/>
      <c r="G50" s="46"/>
      <c r="H50" s="46"/>
      <c r="I50" s="46"/>
      <c r="J50" s="46"/>
    </row>
    <row r="51" customFormat="false" ht="28.35" hidden="false" customHeight="true" outlineLevel="0" collapsed="false">
      <c r="A51" s="47" t="s">
        <v>65</v>
      </c>
      <c r="B51" s="47"/>
      <c r="C51" s="47"/>
      <c r="D51" s="47"/>
      <c r="E51" s="47"/>
      <c r="F51" s="47"/>
      <c r="G51" s="47"/>
      <c r="H51" s="47"/>
      <c r="I51" s="47"/>
      <c r="J51" s="47"/>
    </row>
    <row r="52" customFormat="false" ht="81.75" hidden="false" customHeight="true" outlineLevel="0" collapsed="false">
      <c r="A52" s="48" t="s">
        <v>66</v>
      </c>
      <c r="B52" s="48"/>
      <c r="C52" s="48"/>
      <c r="D52" s="48"/>
      <c r="E52" s="48"/>
      <c r="F52" s="48"/>
      <c r="G52" s="48"/>
      <c r="H52" s="48"/>
      <c r="I52" s="48"/>
      <c r="J52" s="48"/>
    </row>
    <row r="53" customFormat="false" ht="28.35" hidden="false" customHeight="true" outlineLevel="0" collapsed="false">
      <c r="A53" s="47" t="s">
        <v>67</v>
      </c>
      <c r="B53" s="47"/>
      <c r="C53" s="47"/>
      <c r="D53" s="47"/>
      <c r="E53" s="47"/>
      <c r="F53" s="47"/>
      <c r="G53" s="47"/>
      <c r="H53" s="47"/>
      <c r="I53" s="47"/>
      <c r="J53" s="47"/>
    </row>
    <row r="54" customFormat="false" ht="24.75" hidden="false" customHeight="true" outlineLevel="0" collapsed="false">
      <c r="A54" s="49" t="s">
        <v>68</v>
      </c>
      <c r="B54" s="49"/>
      <c r="C54" s="49"/>
      <c r="D54" s="49"/>
      <c r="E54" s="49"/>
      <c r="F54" s="49"/>
      <c r="G54" s="49"/>
      <c r="H54" s="49"/>
      <c r="I54" s="49"/>
      <c r="J54" s="49"/>
    </row>
    <row r="55" customFormat="false" ht="28.35" hidden="false" customHeight="true" outlineLevel="0" collapsed="false">
      <c r="A55" s="50" t="s">
        <v>69</v>
      </c>
      <c r="B55" s="50"/>
      <c r="C55" s="50"/>
      <c r="D55" s="50"/>
      <c r="E55" s="50"/>
      <c r="F55" s="50"/>
      <c r="G55" s="50"/>
      <c r="H55" s="50"/>
      <c r="I55" s="50"/>
      <c r="J55" s="50"/>
    </row>
    <row r="56" customFormat="false" ht="90.75" hidden="false" customHeight="true" outlineLevel="0" collapsed="false">
      <c r="A56" s="51" t="s">
        <v>70</v>
      </c>
      <c r="B56" s="51"/>
      <c r="C56" s="51"/>
      <c r="D56" s="51"/>
      <c r="E56" s="51"/>
      <c r="F56" s="51"/>
      <c r="G56" s="51"/>
      <c r="H56" s="51"/>
      <c r="I56" s="51"/>
      <c r="J56" s="51"/>
    </row>
    <row r="57" customFormat="false" ht="28.35" hidden="false" customHeight="true" outlineLevel="0" collapsed="false">
      <c r="A57" s="52" t="s">
        <v>71</v>
      </c>
      <c r="B57" s="52"/>
      <c r="C57" s="52"/>
      <c r="D57" s="52"/>
      <c r="E57" s="52"/>
      <c r="F57" s="52"/>
      <c r="G57" s="52"/>
      <c r="H57" s="52"/>
      <c r="I57" s="52"/>
      <c r="J57" s="52"/>
    </row>
    <row r="58" customFormat="false" ht="28.35" hidden="false" customHeight="true" outlineLevel="0" collapsed="false">
      <c r="A58" s="53" t="s">
        <v>72</v>
      </c>
      <c r="B58" s="53"/>
      <c r="C58" s="53"/>
      <c r="D58" s="53"/>
      <c r="E58" s="53"/>
      <c r="F58" s="53"/>
      <c r="G58" s="53"/>
      <c r="H58" s="53"/>
      <c r="I58" s="53"/>
      <c r="J58" s="53"/>
    </row>
    <row r="59" customFormat="false" ht="28.35" hidden="false" customHeight="true" outlineLevel="0" collapsed="false">
      <c r="A59" s="54" t="s">
        <v>73</v>
      </c>
      <c r="B59" s="55" t="s">
        <v>74</v>
      </c>
      <c r="C59" s="55"/>
      <c r="D59" s="55"/>
      <c r="E59" s="55"/>
      <c r="F59" s="55"/>
      <c r="G59" s="56" t="s">
        <v>75</v>
      </c>
      <c r="H59" s="57" t="s">
        <v>76</v>
      </c>
      <c r="I59" s="57"/>
      <c r="J59" s="57"/>
    </row>
    <row r="60" customFormat="false" ht="30.9" hidden="false" customHeight="true" outlineLevel="0" collapsed="false">
      <c r="A60" s="58" t="n">
        <v>1</v>
      </c>
      <c r="B60" s="59" t="s">
        <v>77</v>
      </c>
      <c r="C60" s="59"/>
      <c r="D60" s="59"/>
      <c r="E60" s="59"/>
      <c r="F60" s="59"/>
      <c r="G60" s="59" t="n">
        <v>500</v>
      </c>
      <c r="H60" s="60" t="s">
        <v>78</v>
      </c>
      <c r="I60" s="60"/>
      <c r="J60" s="60"/>
    </row>
    <row r="61" customFormat="false" ht="36" hidden="false" customHeight="true" outlineLevel="0" collapsed="false">
      <c r="A61" s="58" t="n">
        <v>2</v>
      </c>
      <c r="B61" s="59" t="s">
        <v>79</v>
      </c>
      <c r="C61" s="59"/>
      <c r="D61" s="59"/>
      <c r="E61" s="59"/>
      <c r="F61" s="59"/>
      <c r="G61" s="61" t="s">
        <v>80</v>
      </c>
      <c r="H61" s="60" t="s">
        <v>81</v>
      </c>
      <c r="I61" s="60"/>
      <c r="J61" s="60"/>
    </row>
    <row r="62" customFormat="false" ht="30.95" hidden="false" customHeight="true" outlineLevel="0" collapsed="false">
      <c r="A62" s="62" t="n">
        <v>3</v>
      </c>
      <c r="B62" s="63" t="s">
        <v>82</v>
      </c>
      <c r="C62" s="63"/>
      <c r="D62" s="63"/>
      <c r="E62" s="63"/>
      <c r="F62" s="63"/>
      <c r="G62" s="64" t="s">
        <v>83</v>
      </c>
      <c r="H62" s="65" t="s">
        <v>84</v>
      </c>
      <c r="I62" s="65"/>
      <c r="J62" s="65"/>
    </row>
    <row r="63" customFormat="false" ht="28.35" hidden="false" customHeight="true" outlineLevel="0" collapsed="false">
      <c r="A63" s="53" t="s">
        <v>85</v>
      </c>
      <c r="B63" s="53"/>
      <c r="C63" s="53"/>
      <c r="D63" s="53"/>
      <c r="E63" s="53"/>
      <c r="F63" s="53"/>
      <c r="G63" s="53"/>
      <c r="H63" s="53"/>
      <c r="I63" s="53"/>
      <c r="J63" s="53"/>
    </row>
    <row r="64" customFormat="false" ht="28.35" hidden="false" customHeight="true" outlineLevel="0" collapsed="false">
      <c r="A64" s="66" t="s">
        <v>74</v>
      </c>
      <c r="B64" s="66" t="s">
        <v>86</v>
      </c>
      <c r="C64" s="66"/>
      <c r="D64" s="66"/>
      <c r="E64" s="66"/>
      <c r="F64" s="66"/>
      <c r="G64" s="66"/>
      <c r="H64" s="67" t="s">
        <v>87</v>
      </c>
      <c r="I64" s="67"/>
      <c r="J64" s="67" t="s">
        <v>88</v>
      </c>
    </row>
    <row r="65" customFormat="false" ht="13.8" hidden="false" customHeight="true" outlineLevel="0" collapsed="false">
      <c r="A65" s="68" t="n">
        <v>1</v>
      </c>
      <c r="B65" s="69" t="s">
        <v>89</v>
      </c>
      <c r="C65" s="69"/>
      <c r="D65" s="69"/>
      <c r="E65" s="69"/>
      <c r="F65" s="69"/>
      <c r="G65" s="69"/>
      <c r="H65" s="69" t="s">
        <v>90</v>
      </c>
      <c r="I65" s="69"/>
      <c r="J65" s="70" t="n">
        <v>500</v>
      </c>
    </row>
    <row r="66" customFormat="false" ht="27.75" hidden="false" customHeight="true" outlineLevel="0" collapsed="false">
      <c r="A66" s="68"/>
      <c r="B66" s="69" t="s">
        <v>91</v>
      </c>
      <c r="C66" s="69"/>
      <c r="D66" s="69"/>
      <c r="E66" s="69"/>
      <c r="F66" s="69"/>
      <c r="G66" s="69"/>
      <c r="H66" s="69" t="s">
        <v>92</v>
      </c>
      <c r="I66" s="69"/>
      <c r="J66" s="71" t="n">
        <v>22</v>
      </c>
    </row>
    <row r="67" customFormat="false" ht="13.8" hidden="false" customHeight="true" outlineLevel="0" collapsed="false">
      <c r="A67" s="68"/>
      <c r="B67" s="69" t="s">
        <v>93</v>
      </c>
      <c r="C67" s="69"/>
      <c r="D67" s="69"/>
      <c r="E67" s="69"/>
      <c r="F67" s="69"/>
      <c r="G67" s="69"/>
      <c r="H67" s="69" t="s">
        <v>87</v>
      </c>
      <c r="I67" s="69"/>
      <c r="J67" s="72" t="n">
        <v>12</v>
      </c>
    </row>
    <row r="68" customFormat="false" ht="45.75" hidden="false" customHeight="true" outlineLevel="0" collapsed="false">
      <c r="A68" s="73" t="n">
        <v>2</v>
      </c>
      <c r="B68" s="69" t="s">
        <v>94</v>
      </c>
      <c r="C68" s="69"/>
      <c r="D68" s="69"/>
      <c r="E68" s="69"/>
      <c r="F68" s="69"/>
      <c r="G68" s="69"/>
      <c r="H68" s="69" t="s">
        <v>95</v>
      </c>
      <c r="I68" s="69"/>
      <c r="J68" s="72" t="n">
        <v>8</v>
      </c>
    </row>
    <row r="69" customFormat="false" ht="28.5" hidden="false" customHeight="true" outlineLevel="0" collapsed="false">
      <c r="A69" s="74" t="n">
        <v>3</v>
      </c>
      <c r="B69" s="75" t="s">
        <v>96</v>
      </c>
      <c r="C69" s="75"/>
      <c r="D69" s="75"/>
      <c r="E69" s="75"/>
      <c r="F69" s="75"/>
      <c r="G69" s="75"/>
      <c r="H69" s="75" t="s">
        <v>97</v>
      </c>
      <c r="I69" s="75"/>
      <c r="J69" s="76" t="n">
        <v>5</v>
      </c>
    </row>
    <row r="70" customFormat="false" ht="28.35" hidden="false" customHeight="true" outlineLevel="0" collapsed="false">
      <c r="A70" s="53" t="s">
        <v>98</v>
      </c>
      <c r="B70" s="53"/>
      <c r="C70" s="53"/>
      <c r="D70" s="53"/>
      <c r="E70" s="53"/>
      <c r="F70" s="53"/>
      <c r="G70" s="53"/>
      <c r="H70" s="53"/>
      <c r="I70" s="53"/>
      <c r="J70" s="53"/>
    </row>
    <row r="71" customFormat="false" ht="32.1" hidden="false" customHeight="true" outlineLevel="0" collapsed="false">
      <c r="A71" s="77" t="s">
        <v>99</v>
      </c>
      <c r="B71" s="77"/>
      <c r="C71" s="77"/>
      <c r="D71" s="77"/>
      <c r="E71" s="77"/>
      <c r="F71" s="77"/>
      <c r="G71" s="77"/>
      <c r="H71" s="78" t="s">
        <v>100</v>
      </c>
      <c r="I71" s="79" t="s">
        <v>101</v>
      </c>
      <c r="J71" s="79"/>
    </row>
    <row r="72" customFormat="false" ht="41.1" hidden="false" customHeight="true" outlineLevel="0" collapsed="false">
      <c r="A72" s="80" t="s">
        <v>102</v>
      </c>
      <c r="B72" s="80"/>
      <c r="C72" s="80"/>
      <c r="D72" s="81" t="s">
        <v>103</v>
      </c>
      <c r="E72" s="81"/>
      <c r="F72" s="81"/>
      <c r="G72" s="81"/>
      <c r="H72" s="82" t="n">
        <f aca="false">'PESSOAL CLT - 12 meses'!G24+'CLT 10 meses'!G19</f>
        <v>45126.6366666667</v>
      </c>
      <c r="I72" s="83" t="n">
        <f aca="false">'PESSOAL CLT - 12 meses'!G25+'CLT 10 meses'!G20</f>
        <v>509053.326111111</v>
      </c>
      <c r="J72" s="83"/>
    </row>
    <row r="73" customFormat="false" ht="39" hidden="false" customHeight="true" outlineLevel="0" collapsed="false">
      <c r="A73" s="80"/>
      <c r="B73" s="80"/>
      <c r="C73" s="80"/>
      <c r="D73" s="81" t="s">
        <v>104</v>
      </c>
      <c r="E73" s="81"/>
      <c r="F73" s="81"/>
      <c r="G73" s="81"/>
      <c r="H73" s="82" t="n">
        <f aca="false">'PESSOAL CLT - 12 meses'!T24+'CLT 10 meses'!T19</f>
        <v>8493.6528</v>
      </c>
      <c r="I73" s="83" t="n">
        <f aca="false">'PESSOAL CLT - 12 meses'!T25+'CLT 10 meses'!T20</f>
        <v>95782.11</v>
      </c>
      <c r="J73" s="83"/>
    </row>
    <row r="74" customFormat="false" ht="42.9" hidden="false" customHeight="true" outlineLevel="0" collapsed="false">
      <c r="A74" s="80" t="s">
        <v>105</v>
      </c>
      <c r="B74" s="80"/>
      <c r="C74" s="80"/>
      <c r="D74" s="84" t="s">
        <v>106</v>
      </c>
      <c r="E74" s="84"/>
      <c r="F74" s="84"/>
      <c r="G74" s="84"/>
      <c r="H74" s="85" t="n">
        <f aca="false">'SERVIÇOS DE TERCEIROS'!E21</f>
        <v>17137.71</v>
      </c>
      <c r="I74" s="86" t="n">
        <f aca="false">'SERVIÇOS DE TERCEIROS'!G21</f>
        <v>194652.52</v>
      </c>
      <c r="J74" s="86"/>
    </row>
    <row r="75" customFormat="false" ht="103.55" hidden="false" customHeight="true" outlineLevel="0" collapsed="false">
      <c r="A75" s="80" t="s">
        <v>107</v>
      </c>
      <c r="B75" s="80"/>
      <c r="C75" s="80"/>
      <c r="D75" s="84" t="str">
        <f aca="false">'M. Consumo'!B4</f>
        <v>Material de escritório / material gráfico e divulgação (banners, folders, revistas)/ premiações esportivas/ material esportivo(medalhas, troféus)/ material de proteção, segurança, socorro e sobrevivência/ fraldas descartáveis/ materiais elétricos, hidráulicos e de construção/ material de acondicionamento e embalagem/ material de higiene e limpeza/ descartáveis (copos, pratos, talheres, bandejas, guardanapos)/ material didático pedagógico e oficinas / suprimentos de informática / Vestuário/ Gás de cozinha P45.</v>
      </c>
      <c r="E75" s="84"/>
      <c r="F75" s="84"/>
      <c r="G75" s="84"/>
      <c r="H75" s="85" t="n">
        <f aca="false">'M. Consumo'!C4</f>
        <v>500</v>
      </c>
      <c r="I75" s="83" t="n">
        <f aca="false">'M. Consumo'!E4</f>
        <v>6000</v>
      </c>
      <c r="J75" s="83"/>
    </row>
    <row r="76" customFormat="false" ht="24" hidden="false" customHeight="true" outlineLevel="0" collapsed="false">
      <c r="A76" s="80"/>
      <c r="B76" s="80"/>
      <c r="C76" s="80"/>
      <c r="D76" s="84" t="str">
        <f aca="false">'M. Consumo'!B5</f>
        <v>Aquisição de lanches</v>
      </c>
      <c r="E76" s="84"/>
      <c r="F76" s="84"/>
      <c r="G76" s="84"/>
      <c r="H76" s="85" t="n">
        <f aca="false">'M. Consumo'!C5</f>
        <v>100</v>
      </c>
      <c r="I76" s="86" t="n">
        <f aca="false">'M. Consumo'!E5</f>
        <v>1200</v>
      </c>
      <c r="J76" s="86"/>
    </row>
    <row r="77" customFormat="false" ht="36" hidden="false" customHeight="true" outlineLevel="0" collapsed="false">
      <c r="A77" s="80" t="s">
        <v>108</v>
      </c>
      <c r="B77" s="80"/>
      <c r="C77" s="80"/>
      <c r="D77" s="84" t="str">
        <f aca="false">'C. Indiretos'!B5</f>
        <v>Manutenção veículo / combustível / lubrificante / 
peças automotivas / seguro de veículo/ pneus/ 
Rastreadores de veículos.</v>
      </c>
      <c r="E77" s="84"/>
      <c r="F77" s="84"/>
      <c r="G77" s="84"/>
      <c r="H77" s="85" t="n">
        <f aca="false">'C. Indiretos'!D5</f>
        <v>166.67</v>
      </c>
      <c r="I77" s="83" t="n">
        <f aca="false">'C. Indiretos'!E5</f>
        <v>2000.04</v>
      </c>
      <c r="J77" s="83"/>
    </row>
    <row r="78" customFormat="false" ht="28.5" hidden="false" customHeight="true" outlineLevel="0" collapsed="false">
      <c r="A78" s="80"/>
      <c r="B78" s="80"/>
      <c r="C78" s="80"/>
      <c r="D78" s="84" t="str">
        <f aca="false">'C. Indiretos'!B6</f>
        <v>Água/ Luz / Telefone fixo e móvel/ Internet / Seguros</v>
      </c>
      <c r="E78" s="84"/>
      <c r="F78" s="84"/>
      <c r="G78" s="84"/>
      <c r="H78" s="85" t="n">
        <f aca="false">'C. Indiretos'!D6</f>
        <v>1347.6</v>
      </c>
      <c r="I78" s="86" t="n">
        <f aca="false">'C. Indiretos'!E6</f>
        <v>16171.2</v>
      </c>
      <c r="J78" s="86"/>
    </row>
    <row r="79" customFormat="false" ht="28.5" hidden="false" customHeight="true" outlineLevel="0" collapsed="false">
      <c r="A79" s="80"/>
      <c r="B79" s="80"/>
      <c r="C79" s="80"/>
      <c r="D79" s="84" t="s">
        <v>109</v>
      </c>
      <c r="E79" s="84"/>
      <c r="F79" s="84"/>
      <c r="G79" s="84"/>
      <c r="H79" s="85" t="n">
        <f aca="false">'C. Indiretos'!D7</f>
        <v>1100</v>
      </c>
      <c r="I79" s="86" t="n">
        <f aca="false">'C. Indiretos'!E7</f>
        <v>2200</v>
      </c>
      <c r="J79" s="86"/>
    </row>
    <row r="80" customFormat="false" ht="28.4" hidden="false" customHeight="true" outlineLevel="0" collapsed="false">
      <c r="A80" s="80" t="s">
        <v>110</v>
      </c>
      <c r="B80" s="80"/>
      <c r="C80" s="80"/>
      <c r="D80" s="84" t="s">
        <v>111</v>
      </c>
      <c r="E80" s="84"/>
      <c r="F80" s="84"/>
      <c r="G80" s="84"/>
      <c r="H80" s="87" t="s">
        <v>111</v>
      </c>
      <c r="I80" s="86" t="s">
        <v>111</v>
      </c>
      <c r="J80" s="86"/>
    </row>
    <row r="81" customFormat="false" ht="28.4" hidden="false" customHeight="true" outlineLevel="0" collapsed="false">
      <c r="A81" s="88" t="s">
        <v>112</v>
      </c>
      <c r="B81" s="88"/>
      <c r="C81" s="88"/>
      <c r="D81" s="88"/>
      <c r="E81" s="88"/>
      <c r="F81" s="88"/>
      <c r="G81" s="88"/>
      <c r="H81" s="89" t="n">
        <f aca="false">SUM(H72:H80)</f>
        <v>73972.2694666667</v>
      </c>
      <c r="I81" s="90" t="n">
        <f aca="false">SUM(I72:J80)</f>
        <v>827059.196111111</v>
      </c>
      <c r="J81" s="90"/>
    </row>
    <row r="82" customFormat="false" ht="32.25" hidden="false" customHeight="true" outlineLevel="0" collapsed="false">
      <c r="A82" s="91" t="s">
        <v>113</v>
      </c>
      <c r="B82" s="91"/>
      <c r="C82" s="91"/>
      <c r="D82" s="91"/>
      <c r="E82" s="91"/>
      <c r="F82" s="91"/>
      <c r="G82" s="91"/>
      <c r="H82" s="91"/>
      <c r="I82" s="91"/>
      <c r="J82" s="91"/>
    </row>
    <row r="83" customFormat="false" ht="52.4" hidden="false" customHeight="true" outlineLevel="0" collapsed="false">
      <c r="A83" s="92" t="s">
        <v>114</v>
      </c>
      <c r="B83" s="92"/>
      <c r="C83" s="92"/>
      <c r="D83" s="92"/>
      <c r="E83" s="92"/>
      <c r="F83" s="92"/>
      <c r="G83" s="92"/>
      <c r="H83" s="92"/>
      <c r="I83" s="92"/>
      <c r="J83" s="92"/>
    </row>
    <row r="84" customFormat="false" ht="39" hidden="false" customHeight="true" outlineLevel="0" collapsed="false">
      <c r="A84" s="93" t="s">
        <v>115</v>
      </c>
      <c r="B84" s="93"/>
      <c r="C84" s="93"/>
      <c r="D84" s="93"/>
      <c r="E84" s="93"/>
      <c r="F84" s="93"/>
      <c r="G84" s="93"/>
      <c r="H84" s="93"/>
      <c r="I84" s="93"/>
      <c r="J84" s="93"/>
    </row>
    <row r="85" customFormat="false" ht="120" hidden="false" customHeight="true" outlineLevel="0" collapsed="false">
      <c r="A85" s="94" t="s">
        <v>116</v>
      </c>
      <c r="B85" s="94"/>
      <c r="C85" s="94"/>
      <c r="D85" s="94"/>
      <c r="E85" s="94"/>
      <c r="F85" s="94"/>
      <c r="G85" s="94"/>
      <c r="H85" s="94"/>
      <c r="I85" s="94"/>
      <c r="J85" s="94"/>
      <c r="K85" s="95"/>
    </row>
    <row r="86" customFormat="false" ht="29.05" hidden="false" customHeight="true" outlineLevel="0" collapsed="false">
      <c r="A86" s="96" t="s">
        <v>117</v>
      </c>
      <c r="B86" s="96"/>
      <c r="C86" s="96"/>
      <c r="D86" s="96"/>
      <c r="E86" s="96"/>
      <c r="F86" s="96"/>
      <c r="G86" s="96"/>
      <c r="H86" s="96"/>
      <c r="I86" s="96"/>
      <c r="J86" s="96"/>
    </row>
    <row r="87" customFormat="false" ht="28.4" hidden="false" customHeight="true" outlineLevel="0" collapsed="false">
      <c r="A87" s="97" t="s">
        <v>118</v>
      </c>
      <c r="B87" s="97" t="s">
        <v>119</v>
      </c>
      <c r="C87" s="97"/>
      <c r="D87" s="97"/>
      <c r="E87" s="97"/>
      <c r="F87" s="97"/>
      <c r="G87" s="97" t="s">
        <v>120</v>
      </c>
      <c r="H87" s="97"/>
      <c r="I87" s="97"/>
      <c r="J87" s="97"/>
    </row>
    <row r="88" customFormat="false" ht="30" hidden="false" customHeight="true" outlineLevel="0" collapsed="false">
      <c r="A88" s="97"/>
      <c r="B88" s="98" t="s">
        <v>121</v>
      </c>
      <c r="C88" s="98"/>
      <c r="D88" s="98" t="s">
        <v>122</v>
      </c>
      <c r="E88" s="98" t="s">
        <v>123</v>
      </c>
      <c r="F88" s="98" t="s">
        <v>124</v>
      </c>
      <c r="G88" s="98" t="s">
        <v>121</v>
      </c>
      <c r="H88" s="98" t="s">
        <v>123</v>
      </c>
      <c r="I88" s="98" t="s">
        <v>124</v>
      </c>
      <c r="J88" s="98"/>
    </row>
    <row r="89" customFormat="false" ht="13.2" hidden="false" customHeight="false" outlineLevel="0" collapsed="false">
      <c r="A89" s="99" t="s">
        <v>125</v>
      </c>
      <c r="B89" s="99" t="n">
        <v>6</v>
      </c>
      <c r="C89" s="99"/>
      <c r="D89" s="99" t="n">
        <v>330504300</v>
      </c>
      <c r="E89" s="100" t="n">
        <v>43617</v>
      </c>
      <c r="F89" s="101" t="n">
        <f aca="false">I81/6</f>
        <v>137843.199351852</v>
      </c>
      <c r="G89" s="99"/>
      <c r="H89" s="102"/>
      <c r="I89" s="103" t="s">
        <v>111</v>
      </c>
      <c r="J89" s="103"/>
    </row>
    <row r="90" customFormat="false" ht="13.2" hidden="false" customHeight="false" outlineLevel="0" collapsed="false">
      <c r="A90" s="99"/>
      <c r="B90" s="99"/>
      <c r="C90" s="99"/>
      <c r="D90" s="99"/>
      <c r="E90" s="100" t="n">
        <v>43647</v>
      </c>
      <c r="F90" s="101" t="n">
        <v>137843.2</v>
      </c>
      <c r="G90" s="99"/>
      <c r="H90" s="102"/>
      <c r="I90" s="103"/>
      <c r="J90" s="103"/>
    </row>
    <row r="91" customFormat="false" ht="13.2" hidden="false" customHeight="false" outlineLevel="0" collapsed="false">
      <c r="A91" s="99"/>
      <c r="B91" s="99"/>
      <c r="C91" s="99"/>
      <c r="D91" s="99"/>
      <c r="E91" s="100" t="n">
        <v>43678</v>
      </c>
      <c r="F91" s="101" t="n">
        <v>137843.2</v>
      </c>
      <c r="G91" s="99"/>
      <c r="H91" s="102"/>
      <c r="I91" s="103"/>
      <c r="J91" s="103"/>
    </row>
    <row r="92" customFormat="false" ht="13.2" hidden="false" customHeight="false" outlineLevel="0" collapsed="false">
      <c r="A92" s="99"/>
      <c r="B92" s="99"/>
      <c r="C92" s="99"/>
      <c r="D92" s="99"/>
      <c r="E92" s="100" t="n">
        <v>43709</v>
      </c>
      <c r="F92" s="101" t="n">
        <v>137843.2</v>
      </c>
      <c r="G92" s="99"/>
      <c r="H92" s="102"/>
      <c r="I92" s="103"/>
      <c r="J92" s="103"/>
    </row>
    <row r="93" customFormat="false" ht="13.2" hidden="false" customHeight="false" outlineLevel="0" collapsed="false">
      <c r="A93" s="99"/>
      <c r="B93" s="99"/>
      <c r="C93" s="99"/>
      <c r="D93" s="99"/>
      <c r="E93" s="100" t="n">
        <v>43739</v>
      </c>
      <c r="F93" s="101" t="n">
        <v>137843.2</v>
      </c>
      <c r="G93" s="99"/>
      <c r="H93" s="102"/>
      <c r="I93" s="103"/>
      <c r="J93" s="103"/>
    </row>
    <row r="94" customFormat="false" ht="13.2" hidden="false" customHeight="false" outlineLevel="0" collapsed="false">
      <c r="A94" s="99"/>
      <c r="B94" s="99"/>
      <c r="C94" s="99"/>
      <c r="D94" s="99"/>
      <c r="E94" s="100" t="n">
        <v>43770</v>
      </c>
      <c r="F94" s="101" t="n">
        <v>137843.2</v>
      </c>
      <c r="G94" s="99"/>
      <c r="H94" s="102"/>
      <c r="I94" s="103"/>
      <c r="J94" s="103"/>
    </row>
    <row r="95" customFormat="false" ht="13.2" hidden="false" customHeight="false" outlineLevel="0" collapsed="false">
      <c r="A95" s="104" t="s">
        <v>126</v>
      </c>
      <c r="B95" s="105" t="n">
        <f aca="false">SUM(F89:F94)</f>
        <v>827059.199351852</v>
      </c>
      <c r="C95" s="105"/>
      <c r="D95" s="105"/>
      <c r="E95" s="105"/>
      <c r="F95" s="105"/>
      <c r="G95" s="106" t="n">
        <v>0</v>
      </c>
      <c r="H95" s="106"/>
      <c r="I95" s="106"/>
      <c r="J95" s="106"/>
    </row>
    <row r="96" customFormat="false" ht="13.2" hidden="true" customHeight="false" outlineLevel="0" collapsed="false">
      <c r="A96" s="39"/>
      <c r="B96" s="39"/>
      <c r="C96" s="39"/>
      <c r="D96" s="39"/>
      <c r="E96" s="39"/>
      <c r="F96" s="39"/>
      <c r="G96" s="39"/>
      <c r="H96" s="39"/>
      <c r="I96" s="39"/>
      <c r="J96" s="39"/>
    </row>
    <row r="97" customFormat="false" ht="28.4" hidden="false" customHeight="true" outlineLevel="0" collapsed="false">
      <c r="A97" s="107" t="s">
        <v>127</v>
      </c>
      <c r="B97" s="107"/>
      <c r="C97" s="107"/>
      <c r="D97" s="108" t="s">
        <v>128</v>
      </c>
      <c r="E97" s="108"/>
      <c r="F97" s="108"/>
      <c r="G97" s="108"/>
      <c r="H97" s="108"/>
      <c r="I97" s="108"/>
      <c r="J97" s="108"/>
    </row>
    <row r="98" customFormat="false" ht="25.5" hidden="false" customHeight="true" outlineLevel="0" collapsed="false">
      <c r="A98" s="12" t="s">
        <v>125</v>
      </c>
      <c r="B98" s="12"/>
      <c r="C98" s="12"/>
      <c r="D98" s="17" t="s">
        <v>129</v>
      </c>
      <c r="E98" s="17"/>
      <c r="F98" s="17"/>
      <c r="G98" s="17"/>
      <c r="H98" s="17"/>
      <c r="I98" s="17"/>
      <c r="J98" s="17"/>
    </row>
    <row r="99" customFormat="false" ht="29.1" hidden="false" customHeight="true" outlineLevel="0" collapsed="false">
      <c r="A99" s="109" t="s">
        <v>130</v>
      </c>
      <c r="B99" s="109"/>
      <c r="C99" s="109"/>
      <c r="D99" s="109"/>
      <c r="E99" s="109"/>
      <c r="F99" s="109"/>
      <c r="G99" s="109"/>
      <c r="H99" s="109"/>
      <c r="I99" s="109"/>
      <c r="J99" s="109"/>
    </row>
    <row r="100" customFormat="false" ht="28.4" hidden="false" customHeight="true" outlineLevel="0" collapsed="false">
      <c r="A100" s="110" t="s">
        <v>131</v>
      </c>
      <c r="B100" s="110"/>
      <c r="C100" s="110"/>
      <c r="D100" s="110"/>
      <c r="E100" s="110"/>
      <c r="F100" s="110"/>
      <c r="G100" s="110"/>
      <c r="H100" s="110"/>
      <c r="I100" s="110"/>
      <c r="J100" s="110"/>
    </row>
    <row r="101" customFormat="false" ht="51.6" hidden="false" customHeight="true" outlineLevel="0" collapsed="false">
      <c r="A101" s="111" t="s">
        <v>132</v>
      </c>
      <c r="B101" s="111"/>
      <c r="C101" s="111"/>
      <c r="D101" s="111"/>
      <c r="E101" s="111"/>
      <c r="F101" s="111"/>
      <c r="G101" s="111"/>
      <c r="H101" s="111"/>
      <c r="I101" s="111"/>
      <c r="J101" s="111"/>
    </row>
    <row r="102" customFormat="false" ht="28.4" hidden="false" customHeight="true" outlineLevel="0" collapsed="false">
      <c r="A102" s="96" t="s">
        <v>133</v>
      </c>
      <c r="B102" s="96"/>
      <c r="C102" s="96"/>
      <c r="D102" s="96"/>
      <c r="E102" s="96"/>
      <c r="F102" s="96"/>
      <c r="G102" s="96"/>
      <c r="H102" s="96"/>
      <c r="I102" s="96"/>
      <c r="J102" s="96"/>
    </row>
    <row r="103" customFormat="false" ht="96" hidden="false" customHeight="true" outlineLevel="0" collapsed="false">
      <c r="A103" s="112" t="s">
        <v>134</v>
      </c>
      <c r="B103" s="112"/>
      <c r="C103" s="112"/>
      <c r="D103" s="112"/>
      <c r="E103" s="112"/>
      <c r="F103" s="112"/>
      <c r="G103" s="112"/>
      <c r="H103" s="112"/>
      <c r="I103" s="112"/>
      <c r="J103" s="112"/>
    </row>
    <row r="104" customFormat="false" ht="27.75" hidden="false" customHeight="true" outlineLevel="0" collapsed="false">
      <c r="A104" s="96" t="s">
        <v>135</v>
      </c>
      <c r="B104" s="96"/>
      <c r="C104" s="96"/>
      <c r="D104" s="96"/>
      <c r="E104" s="96"/>
      <c r="F104" s="96"/>
      <c r="G104" s="96"/>
      <c r="H104" s="96"/>
      <c r="I104" s="96"/>
      <c r="J104" s="96"/>
    </row>
    <row r="105" customFormat="false" ht="44.25" hidden="false" customHeight="true" outlineLevel="0" collapsed="false">
      <c r="A105" s="113" t="s">
        <v>136</v>
      </c>
      <c r="B105" s="113"/>
      <c r="C105" s="113"/>
      <c r="D105" s="113"/>
      <c r="E105" s="113"/>
      <c r="F105" s="113"/>
      <c r="G105" s="113"/>
      <c r="H105" s="113"/>
      <c r="I105" s="113"/>
      <c r="J105" s="113"/>
    </row>
    <row r="106" customFormat="false" ht="13.2" hidden="false" customHeight="false" outlineLevel="0" collapsed="false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</row>
    <row r="107" customFormat="false" ht="13.2" hidden="false" customHeight="false" outlineLevel="0" collapsed="false">
      <c r="B107" s="32"/>
      <c r="C107" s="32"/>
      <c r="D107" s="32"/>
      <c r="E107" s="32"/>
      <c r="F107" s="32"/>
      <c r="G107" s="32"/>
      <c r="H107" s="32"/>
      <c r="I107" s="32"/>
      <c r="J107" s="3"/>
    </row>
    <row r="108" customFormat="false" ht="13.2" hidden="false" customHeight="false" outlineLevel="0" collapsed="false">
      <c r="A108" s="115" t="s">
        <v>137</v>
      </c>
      <c r="B108" s="115"/>
      <c r="C108" s="115"/>
      <c r="D108" s="115"/>
      <c r="E108" s="115"/>
      <c r="F108" s="115"/>
      <c r="G108" s="115"/>
      <c r="H108" s="115"/>
      <c r="I108" s="115"/>
      <c r="J108" s="115"/>
    </row>
    <row r="109" customFormat="false" ht="13.2" hidden="false" customHeight="false" outlineLevel="0" collapsed="false">
      <c r="A109" s="116"/>
      <c r="B109" s="117"/>
      <c r="C109" s="117"/>
      <c r="D109" s="117"/>
      <c r="E109" s="117"/>
      <c r="F109" s="117"/>
      <c r="G109" s="117"/>
      <c r="H109" s="117"/>
      <c r="I109" s="117"/>
      <c r="J109" s="118"/>
    </row>
    <row r="110" customFormat="false" ht="13.2" hidden="false" customHeight="false" outlineLevel="0" collapsed="false">
      <c r="A110" s="116"/>
      <c r="B110" s="117"/>
      <c r="C110" s="117"/>
      <c r="D110" s="117"/>
      <c r="E110" s="117"/>
      <c r="F110" s="117"/>
      <c r="G110" s="117"/>
      <c r="H110" s="117"/>
      <c r="I110" s="117"/>
      <c r="J110" s="118"/>
    </row>
    <row r="111" customFormat="false" ht="13.2" hidden="false" customHeight="false" outlineLevel="0" collapsed="false">
      <c r="B111" s="32"/>
      <c r="C111" s="32"/>
      <c r="D111" s="32"/>
      <c r="E111" s="32"/>
      <c r="F111" s="32"/>
      <c r="G111" s="32"/>
      <c r="H111" s="32"/>
      <c r="I111" s="32"/>
      <c r="J111" s="3"/>
    </row>
    <row r="112" customFormat="false" ht="13.2" hidden="false" customHeight="false" outlineLevel="0" collapsed="false">
      <c r="B112" s="32"/>
      <c r="C112" s="32"/>
      <c r="D112" s="32"/>
      <c r="E112" s="32"/>
      <c r="F112" s="32"/>
      <c r="G112" s="32"/>
      <c r="H112" s="32"/>
      <c r="I112" s="32"/>
      <c r="J112" s="3"/>
    </row>
    <row r="113" customFormat="false" ht="13.2" hidden="false" customHeight="false" outlineLevel="0" collapsed="false">
      <c r="B113" s="32"/>
      <c r="C113" s="32"/>
      <c r="D113" s="32"/>
      <c r="E113" s="32"/>
      <c r="F113" s="32"/>
      <c r="G113" s="32"/>
      <c r="H113" s="32"/>
      <c r="I113" s="32"/>
      <c r="J113" s="3"/>
    </row>
    <row r="114" customFormat="false" ht="13.2" hidden="false" customHeight="false" outlineLevel="0" collapsed="false">
      <c r="B114" s="32"/>
      <c r="C114" s="32"/>
      <c r="D114" s="32"/>
      <c r="E114" s="32"/>
      <c r="F114" s="32"/>
      <c r="G114" s="32"/>
      <c r="H114" s="32"/>
      <c r="I114" s="32"/>
      <c r="J114" s="3"/>
    </row>
    <row r="115" customFormat="false" ht="13.2" hidden="false" customHeight="false" outlineLevel="0" collapsed="false">
      <c r="B115" s="32"/>
      <c r="C115" s="32"/>
      <c r="D115" s="32"/>
      <c r="E115" s="32"/>
      <c r="F115" s="32"/>
      <c r="G115" s="32"/>
      <c r="H115" s="32"/>
      <c r="I115" s="32"/>
      <c r="J115" s="3"/>
    </row>
    <row r="116" customFormat="false" ht="13.2" hidden="false" customHeight="false" outlineLevel="0" collapsed="false">
      <c r="A116" s="119"/>
      <c r="B116" s="119"/>
      <c r="C116" s="119"/>
      <c r="D116" s="120"/>
      <c r="E116" s="120"/>
      <c r="G116" s="120"/>
      <c r="H116" s="120"/>
      <c r="I116" s="120"/>
      <c r="J116" s="3"/>
    </row>
    <row r="117" customFormat="false" ht="13.2" hidden="false" customHeight="false" outlineLevel="0" collapsed="false">
      <c r="A117" s="121" t="s">
        <v>138</v>
      </c>
      <c r="B117" s="121"/>
      <c r="C117" s="121"/>
      <c r="D117" s="121"/>
      <c r="E117" s="121"/>
      <c r="G117" s="122" t="s">
        <v>139</v>
      </c>
      <c r="H117" s="122"/>
      <c r="I117" s="122"/>
      <c r="J117" s="3"/>
    </row>
    <row r="118" customFormat="false" ht="13.8" hidden="false" customHeight="false" outlineLevel="0" collapsed="false">
      <c r="A118" s="123" t="s">
        <v>140</v>
      </c>
      <c r="B118" s="123"/>
      <c r="C118" s="123"/>
      <c r="D118" s="123"/>
      <c r="E118" s="123"/>
      <c r="F118" s="124"/>
      <c r="G118" s="122" t="s">
        <v>141</v>
      </c>
      <c r="H118" s="122"/>
      <c r="I118" s="122"/>
      <c r="J118" s="125"/>
    </row>
    <row r="119" customFormat="false" ht="13.8" hidden="false" customHeight="false" outlineLevel="0" collapsed="false">
      <c r="A119" s="126"/>
      <c r="B119" s="127"/>
      <c r="C119" s="127"/>
      <c r="D119" s="127"/>
      <c r="E119" s="127"/>
      <c r="F119" s="124"/>
      <c r="G119" s="122"/>
      <c r="H119" s="122"/>
      <c r="I119" s="122"/>
      <c r="J119" s="125"/>
    </row>
    <row r="120" customFormat="false" ht="13.8" hidden="false" customHeight="false" outlineLevel="0" collapsed="false">
      <c r="A120" s="128"/>
      <c r="B120" s="129"/>
      <c r="C120" s="129"/>
      <c r="D120" s="129"/>
      <c r="E120" s="129"/>
      <c r="F120" s="130"/>
      <c r="G120" s="131"/>
      <c r="H120" s="131"/>
      <c r="I120" s="131"/>
      <c r="J120" s="132"/>
    </row>
  </sheetData>
  <mergeCells count="177">
    <mergeCell ref="A1:B1"/>
    <mergeCell ref="C1:F1"/>
    <mergeCell ref="G1:J1"/>
    <mergeCell ref="A2:J2"/>
    <mergeCell ref="A3:J3"/>
    <mergeCell ref="A4:F4"/>
    <mergeCell ref="G4:J4"/>
    <mergeCell ref="A5:F5"/>
    <mergeCell ref="G5:J5"/>
    <mergeCell ref="A6:D6"/>
    <mergeCell ref="F6:G6"/>
    <mergeCell ref="H6:J6"/>
    <mergeCell ref="A7:D7"/>
    <mergeCell ref="F7:G7"/>
    <mergeCell ref="H7:J7"/>
    <mergeCell ref="A8:J8"/>
    <mergeCell ref="A9:J10"/>
    <mergeCell ref="A11:J11"/>
    <mergeCell ref="A12:F12"/>
    <mergeCell ref="G12:J12"/>
    <mergeCell ref="A13:F13"/>
    <mergeCell ref="G13:J13"/>
    <mergeCell ref="A14:F14"/>
    <mergeCell ref="G14:J14"/>
    <mergeCell ref="A15:F15"/>
    <mergeCell ref="G15:J15"/>
    <mergeCell ref="A16:C16"/>
    <mergeCell ref="E16:F16"/>
    <mergeCell ref="G16:J16"/>
    <mergeCell ref="A17:C17"/>
    <mergeCell ref="E17:F17"/>
    <mergeCell ref="G17:J17"/>
    <mergeCell ref="A18:C18"/>
    <mergeCell ref="E18:F18"/>
    <mergeCell ref="G18:J18"/>
    <mergeCell ref="A19:C19"/>
    <mergeCell ref="E19:F19"/>
    <mergeCell ref="G19:J19"/>
    <mergeCell ref="A20:J20"/>
    <mergeCell ref="A21:F21"/>
    <mergeCell ref="G21:J21"/>
    <mergeCell ref="A22:F22"/>
    <mergeCell ref="G22:J22"/>
    <mergeCell ref="A23:D23"/>
    <mergeCell ref="E23:F23"/>
    <mergeCell ref="G23:J23"/>
    <mergeCell ref="A24:D24"/>
    <mergeCell ref="E24:F24"/>
    <mergeCell ref="G24:J24"/>
    <mergeCell ref="A25:F25"/>
    <mergeCell ref="G25:J25"/>
    <mergeCell ref="A26:F26"/>
    <mergeCell ref="G26:J26"/>
    <mergeCell ref="A27:C27"/>
    <mergeCell ref="E27:F27"/>
    <mergeCell ref="G27:J27"/>
    <mergeCell ref="A28:C28"/>
    <mergeCell ref="E28:F28"/>
    <mergeCell ref="G28:J28"/>
    <mergeCell ref="A29:J29"/>
    <mergeCell ref="A30:J30"/>
    <mergeCell ref="A39:J39"/>
    <mergeCell ref="A40:J40"/>
    <mergeCell ref="A41:J41"/>
    <mergeCell ref="A42:E42"/>
    <mergeCell ref="F42:J42"/>
    <mergeCell ref="A43:E44"/>
    <mergeCell ref="F43:G43"/>
    <mergeCell ref="H43:J43"/>
    <mergeCell ref="F44:G44"/>
    <mergeCell ref="H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58:J58"/>
    <mergeCell ref="B59:F59"/>
    <mergeCell ref="H59:J59"/>
    <mergeCell ref="B60:F60"/>
    <mergeCell ref="H60:J60"/>
    <mergeCell ref="B61:F61"/>
    <mergeCell ref="H61:J61"/>
    <mergeCell ref="B62:F62"/>
    <mergeCell ref="H62:J62"/>
    <mergeCell ref="A63:J63"/>
    <mergeCell ref="B64:G64"/>
    <mergeCell ref="H64:I64"/>
    <mergeCell ref="A65:A67"/>
    <mergeCell ref="B65:G65"/>
    <mergeCell ref="H65:I65"/>
    <mergeCell ref="B66:G66"/>
    <mergeCell ref="H66:I66"/>
    <mergeCell ref="B67:G67"/>
    <mergeCell ref="H67:I67"/>
    <mergeCell ref="B68:G68"/>
    <mergeCell ref="H68:I68"/>
    <mergeCell ref="B69:G69"/>
    <mergeCell ref="H69:I69"/>
    <mergeCell ref="A70:J70"/>
    <mergeCell ref="A71:G71"/>
    <mergeCell ref="I71:J71"/>
    <mergeCell ref="A72:C73"/>
    <mergeCell ref="D72:G72"/>
    <mergeCell ref="I72:J72"/>
    <mergeCell ref="D73:G73"/>
    <mergeCell ref="I73:J73"/>
    <mergeCell ref="A74:C74"/>
    <mergeCell ref="D74:G74"/>
    <mergeCell ref="I74:J74"/>
    <mergeCell ref="A75:C76"/>
    <mergeCell ref="D75:G75"/>
    <mergeCell ref="I75:J75"/>
    <mergeCell ref="D76:G76"/>
    <mergeCell ref="I76:J76"/>
    <mergeCell ref="A77:C79"/>
    <mergeCell ref="D77:G77"/>
    <mergeCell ref="I77:J77"/>
    <mergeCell ref="D78:G78"/>
    <mergeCell ref="I78:J78"/>
    <mergeCell ref="D79:G79"/>
    <mergeCell ref="I79:J79"/>
    <mergeCell ref="A80:C80"/>
    <mergeCell ref="D80:G80"/>
    <mergeCell ref="I80:J80"/>
    <mergeCell ref="A81:G81"/>
    <mergeCell ref="I81:J81"/>
    <mergeCell ref="A82:J82"/>
    <mergeCell ref="A83:J83"/>
    <mergeCell ref="A84:J84"/>
    <mergeCell ref="A85:J85"/>
    <mergeCell ref="A86:J86"/>
    <mergeCell ref="A87:A88"/>
    <mergeCell ref="B87:F87"/>
    <mergeCell ref="G87:J87"/>
    <mergeCell ref="B88:C88"/>
    <mergeCell ref="I88:J88"/>
    <mergeCell ref="A89:A94"/>
    <mergeCell ref="B89:C94"/>
    <mergeCell ref="D89:D94"/>
    <mergeCell ref="G89:G94"/>
    <mergeCell ref="I89:J89"/>
    <mergeCell ref="I90:J90"/>
    <mergeCell ref="I91:J91"/>
    <mergeCell ref="I92:J92"/>
    <mergeCell ref="I93:J93"/>
    <mergeCell ref="I94:J94"/>
    <mergeCell ref="B95:F95"/>
    <mergeCell ref="G95:J95"/>
    <mergeCell ref="A96:J96"/>
    <mergeCell ref="A97:C97"/>
    <mergeCell ref="D97:J97"/>
    <mergeCell ref="A98:C98"/>
    <mergeCell ref="D98:J98"/>
    <mergeCell ref="A99:J99"/>
    <mergeCell ref="A100:J100"/>
    <mergeCell ref="A101:J101"/>
    <mergeCell ref="A102:J102"/>
    <mergeCell ref="A103:J103"/>
    <mergeCell ref="A104:J104"/>
    <mergeCell ref="A105:J105"/>
    <mergeCell ref="A106:J106"/>
    <mergeCell ref="A108:J108"/>
    <mergeCell ref="A116:C116"/>
    <mergeCell ref="G116:I116"/>
    <mergeCell ref="A117:E117"/>
    <mergeCell ref="G117:I117"/>
    <mergeCell ref="A118:E118"/>
    <mergeCell ref="G118:I118"/>
  </mergeCells>
  <hyperlinks>
    <hyperlink ref="G19" r:id="rId1" display="financeiro@amnp.org"/>
    <hyperlink ref="A30" r:id="rId2" display="amonp.institucional@gmail.com"/>
  </hyperlinks>
  <printOptions headings="false" gridLines="false" gridLinesSet="true" horizontalCentered="true" verticalCentered="false"/>
  <pageMargins left="0.7875" right="0.39375" top="0.7875" bottom="0.39375" header="0.511805555555555" footer="0.511805555555555"/>
  <pageSetup paperSize="9" scale="100" firstPageNumber="0" fitToWidth="1" fitToHeight="4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2" manualBreakCount="2">
    <brk id="46" man="true" max="16383" min="0"/>
    <brk id="85" man="true" max="16383" min="0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I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33" width="29.29"/>
    <col collapsed="false" customWidth="true" hidden="false" outlineLevel="0" max="2" min="2" style="133" width="7.87"/>
    <col collapsed="false" customWidth="true" hidden="false" outlineLevel="0" max="3" min="3" style="133" width="11.14"/>
    <col collapsed="false" customWidth="true" hidden="false" outlineLevel="0" max="4" min="4" style="133" width="10.99"/>
    <col collapsed="false" customWidth="true" hidden="false" outlineLevel="0" max="5" min="5" style="133" width="13.43"/>
    <col collapsed="false" customWidth="true" hidden="false" outlineLevel="0" max="6" min="6" style="133" width="11.14"/>
    <col collapsed="false" customWidth="true" hidden="false" outlineLevel="0" max="7" min="7" style="133" width="14.57"/>
    <col collapsed="false" customWidth="true" hidden="false" outlineLevel="0" max="8" min="8" style="133" width="11.14"/>
    <col collapsed="false" customWidth="false" hidden="false" outlineLevel="0" max="9" min="9" style="133" width="11.42"/>
    <col collapsed="false" customWidth="true" hidden="false" outlineLevel="0" max="10" min="10" style="133" width="9.29"/>
    <col collapsed="false" customWidth="true" hidden="false" outlineLevel="0" max="11" min="11" style="133" width="9.13"/>
    <col collapsed="false" customWidth="true" hidden="false" outlineLevel="0" max="12" min="12" style="133" width="9.29"/>
    <col collapsed="false" customWidth="true" hidden="false" outlineLevel="0" max="13" min="13" style="133" width="8.41"/>
    <col collapsed="false" customWidth="true" hidden="true" outlineLevel="0" max="14" min="14" style="133" width="7.71"/>
    <col collapsed="false" customWidth="true" hidden="true" outlineLevel="0" max="15" min="15" style="133" width="10.85"/>
    <col collapsed="false" customWidth="true" hidden="true" outlineLevel="0" max="16" min="16" style="133" width="12.71"/>
    <col collapsed="false" customWidth="true" hidden="false" outlineLevel="0" max="17" min="17" style="133" width="8"/>
    <col collapsed="false" customWidth="true" hidden="true" outlineLevel="0" max="18" min="18" style="133" width="10.42"/>
    <col collapsed="false" customWidth="true" hidden="false" outlineLevel="0" max="19" min="19" style="133" width="12.71"/>
    <col collapsed="false" customWidth="true" hidden="false" outlineLevel="0" max="20" min="20" style="133" width="13.7"/>
    <col collapsed="false" customWidth="true" hidden="false" outlineLevel="0" max="21" min="21" style="133" width="15.29"/>
    <col collapsed="false" customWidth="true" hidden="false" outlineLevel="0" max="22" min="22" style="133" width="13.29"/>
    <col collapsed="false" customWidth="true" hidden="false" outlineLevel="0" max="23" min="23" style="133" width="11.71"/>
    <col collapsed="false" customWidth="true" hidden="false" outlineLevel="0" max="259" min="24" style="133" width="9.13"/>
    <col collapsed="false" customWidth="true" hidden="false" outlineLevel="0" max="1025" min="260" style="0" width="9.13"/>
  </cols>
  <sheetData>
    <row r="1" s="135" customFormat="true" ht="29.1" hidden="false" customHeight="true" outlineLevel="0" collapsed="false">
      <c r="A1" s="134" t="s">
        <v>142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IX1" s="133"/>
    </row>
    <row r="2" s="135" customFormat="true" ht="29.1" hidden="false" customHeight="true" outlineLevel="0" collapsed="false">
      <c r="A2" s="136" t="s">
        <v>143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IX2" s="133"/>
    </row>
    <row r="3" s="140" customFormat="true" ht="19.35" hidden="false" customHeight="true" outlineLevel="0" collapsed="false">
      <c r="A3" s="137" t="s">
        <v>144</v>
      </c>
      <c r="B3" s="137" t="s">
        <v>145</v>
      </c>
      <c r="C3" s="137"/>
      <c r="D3" s="137"/>
      <c r="E3" s="137"/>
      <c r="F3" s="137"/>
      <c r="G3" s="137"/>
      <c r="H3" s="138" t="s">
        <v>146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9" t="s">
        <v>147</v>
      </c>
    </row>
    <row r="4" s="143" customFormat="true" ht="66" hidden="false" customHeight="true" outlineLevel="0" collapsed="false">
      <c r="A4" s="137"/>
      <c r="B4" s="137" t="s">
        <v>88</v>
      </c>
      <c r="C4" s="141" t="s">
        <v>148</v>
      </c>
      <c r="D4" s="141" t="s">
        <v>149</v>
      </c>
      <c r="E4" s="141" t="s">
        <v>150</v>
      </c>
      <c r="F4" s="141" t="s">
        <v>151</v>
      </c>
      <c r="G4" s="141" t="s">
        <v>152</v>
      </c>
      <c r="H4" s="142" t="s">
        <v>153</v>
      </c>
      <c r="I4" s="142" t="s">
        <v>154</v>
      </c>
      <c r="J4" s="142" t="s">
        <v>155</v>
      </c>
      <c r="K4" s="142" t="s">
        <v>156</v>
      </c>
      <c r="L4" s="142" t="s">
        <v>157</v>
      </c>
      <c r="M4" s="142" t="s">
        <v>158</v>
      </c>
      <c r="N4" s="142" t="s">
        <v>159</v>
      </c>
      <c r="O4" s="142" t="s">
        <v>160</v>
      </c>
      <c r="P4" s="142" t="s">
        <v>161</v>
      </c>
      <c r="Q4" s="142" t="s">
        <v>162</v>
      </c>
      <c r="R4" s="142" t="s">
        <v>163</v>
      </c>
      <c r="S4" s="142" t="s">
        <v>164</v>
      </c>
      <c r="T4" s="142" t="s">
        <v>165</v>
      </c>
      <c r="U4" s="139"/>
    </row>
    <row r="5" s="150" customFormat="true" ht="16.7" hidden="false" customHeight="true" outlineLevel="0" collapsed="false">
      <c r="A5" s="144" t="s">
        <v>166</v>
      </c>
      <c r="B5" s="145" t="n">
        <v>1</v>
      </c>
      <c r="C5" s="146" t="n">
        <v>2200</v>
      </c>
      <c r="D5" s="146" t="n">
        <f aca="false">C5/12</f>
        <v>183.333333333333</v>
      </c>
      <c r="E5" s="146" t="n">
        <f aca="false">C5/12</f>
        <v>183.333333333333</v>
      </c>
      <c r="F5" s="146" t="n">
        <f aca="false">D5/3</f>
        <v>61.1111111111111</v>
      </c>
      <c r="G5" s="146" t="n">
        <f aca="false">(SUM(C5:F5))*B5</f>
        <v>2627.77777777778</v>
      </c>
      <c r="H5" s="146" t="n">
        <f aca="false">C5*0.08</f>
        <v>176</v>
      </c>
      <c r="I5" s="146" t="n">
        <f aca="false">H5*0.5</f>
        <v>88</v>
      </c>
      <c r="J5" s="147"/>
      <c r="K5" s="146"/>
      <c r="L5" s="146"/>
      <c r="M5" s="146"/>
      <c r="N5" s="146" t="n">
        <v>0</v>
      </c>
      <c r="O5" s="146" t="n">
        <v>0</v>
      </c>
      <c r="P5" s="146" t="n">
        <v>0</v>
      </c>
      <c r="Q5" s="146"/>
      <c r="R5" s="146" t="n">
        <v>0</v>
      </c>
      <c r="S5" s="146" t="n">
        <f aca="false">9*20</f>
        <v>180</v>
      </c>
      <c r="T5" s="146" t="n">
        <f aca="false">(SUM(H5:S5))*B5</f>
        <v>444</v>
      </c>
      <c r="U5" s="148" t="n">
        <f aca="false">G5+T5</f>
        <v>3071.77777777778</v>
      </c>
      <c r="V5" s="149"/>
    </row>
    <row r="6" s="135" customFormat="true" ht="16.5" hidden="false" customHeight="true" outlineLevel="0" collapsed="false">
      <c r="A6" s="151" t="s">
        <v>167</v>
      </c>
      <c r="B6" s="152" t="n">
        <v>1</v>
      </c>
      <c r="C6" s="153" t="n">
        <v>1200</v>
      </c>
      <c r="D6" s="153" t="n">
        <f aca="false">C6/12</f>
        <v>100</v>
      </c>
      <c r="E6" s="153" t="n">
        <f aca="false">C6/12</f>
        <v>100</v>
      </c>
      <c r="F6" s="153" t="n">
        <f aca="false">D6/3</f>
        <v>33.3333333333333</v>
      </c>
      <c r="G6" s="146" t="n">
        <f aca="false">(SUM(C6:F6))*B6</f>
        <v>1433.33333333333</v>
      </c>
      <c r="H6" s="146" t="n">
        <f aca="false">C6*0.08</f>
        <v>96</v>
      </c>
      <c r="I6" s="153" t="n">
        <f aca="false">H6*0.5</f>
        <v>48</v>
      </c>
      <c r="J6" s="147"/>
      <c r="K6" s="146"/>
      <c r="L6" s="146"/>
      <c r="M6" s="153"/>
      <c r="N6" s="153" t="n">
        <v>0</v>
      </c>
      <c r="O6" s="153" t="n">
        <v>0</v>
      </c>
      <c r="P6" s="153" t="n">
        <v>0</v>
      </c>
      <c r="Q6" s="153"/>
      <c r="R6" s="153" t="n">
        <v>0</v>
      </c>
      <c r="S6" s="146" t="n">
        <f aca="false">9*20</f>
        <v>180</v>
      </c>
      <c r="T6" s="146" t="n">
        <f aca="false">(SUM(H6:S6))*B6</f>
        <v>324</v>
      </c>
      <c r="U6" s="148" t="n">
        <f aca="false">G6+T6</f>
        <v>1757.33333333333</v>
      </c>
      <c r="V6" s="149"/>
      <c r="IX6" s="133"/>
    </row>
    <row r="7" s="135" customFormat="true" ht="16.7" hidden="false" customHeight="true" outlineLevel="0" collapsed="false">
      <c r="A7" s="151" t="s">
        <v>168</v>
      </c>
      <c r="B7" s="152" t="n">
        <v>1</v>
      </c>
      <c r="C7" s="153" t="n">
        <v>1700</v>
      </c>
      <c r="D7" s="153" t="n">
        <f aca="false">C7/12</f>
        <v>141.666666666667</v>
      </c>
      <c r="E7" s="153" t="n">
        <f aca="false">C7/12</f>
        <v>141.666666666667</v>
      </c>
      <c r="F7" s="153" t="n">
        <f aca="false">D7/3</f>
        <v>47.2222222222222</v>
      </c>
      <c r="G7" s="146" t="n">
        <f aca="false">(SUM(C7:F7))*B7</f>
        <v>2030.55555555556</v>
      </c>
      <c r="H7" s="146" t="n">
        <f aca="false">C7*0.08</f>
        <v>136</v>
      </c>
      <c r="I7" s="153" t="n">
        <f aca="false">H7*0.5</f>
        <v>68</v>
      </c>
      <c r="J7" s="147"/>
      <c r="K7" s="153" t="n">
        <v>0</v>
      </c>
      <c r="L7" s="153" t="n">
        <v>0</v>
      </c>
      <c r="M7" s="153"/>
      <c r="N7" s="153" t="n">
        <v>0</v>
      </c>
      <c r="O7" s="153" t="n">
        <v>0</v>
      </c>
      <c r="P7" s="153" t="n">
        <v>0</v>
      </c>
      <c r="Q7" s="153"/>
      <c r="R7" s="153" t="n">
        <v>0</v>
      </c>
      <c r="S7" s="146" t="n">
        <f aca="false">9*20</f>
        <v>180</v>
      </c>
      <c r="T7" s="146" t="n">
        <f aca="false">(SUM(H7:S7))*B7</f>
        <v>384</v>
      </c>
      <c r="U7" s="148" t="n">
        <f aca="false">G7+T7</f>
        <v>2414.55555555556</v>
      </c>
      <c r="IX7" s="133"/>
    </row>
    <row r="8" s="135" customFormat="true" ht="16.7" hidden="false" customHeight="true" outlineLevel="0" collapsed="false">
      <c r="A8" s="154" t="s">
        <v>169</v>
      </c>
      <c r="B8" s="155" t="n">
        <v>2</v>
      </c>
      <c r="C8" s="153" t="n">
        <v>1100</v>
      </c>
      <c r="D8" s="153" t="n">
        <f aca="false">C8/12</f>
        <v>91.6666666666667</v>
      </c>
      <c r="E8" s="153" t="n">
        <f aca="false">C8/12</f>
        <v>91.6666666666667</v>
      </c>
      <c r="F8" s="153" t="n">
        <f aca="false">D8/3</f>
        <v>30.5555555555556</v>
      </c>
      <c r="G8" s="146" t="n">
        <f aca="false">(SUM(C8:F8))*B8</f>
        <v>2627.77777777778</v>
      </c>
      <c r="H8" s="146" t="n">
        <f aca="false">C8*0.08</f>
        <v>88</v>
      </c>
      <c r="I8" s="153" t="n">
        <f aca="false">H8*0.5</f>
        <v>44</v>
      </c>
      <c r="J8" s="147"/>
      <c r="K8" s="153" t="n">
        <v>0</v>
      </c>
      <c r="L8" s="153" t="n">
        <v>0</v>
      </c>
      <c r="M8" s="153"/>
      <c r="N8" s="153" t="n">
        <v>0</v>
      </c>
      <c r="O8" s="153" t="n">
        <v>0</v>
      </c>
      <c r="P8" s="153" t="n">
        <v>0</v>
      </c>
      <c r="Q8" s="153"/>
      <c r="R8" s="153" t="n">
        <v>0</v>
      </c>
      <c r="S8" s="146" t="n">
        <f aca="false">9*20</f>
        <v>180</v>
      </c>
      <c r="T8" s="146" t="n">
        <f aca="false">(SUM(H8:S8))*B8</f>
        <v>624</v>
      </c>
      <c r="U8" s="148" t="n">
        <f aca="false">G8+T8</f>
        <v>3251.77777777778</v>
      </c>
      <c r="IX8" s="133"/>
    </row>
    <row r="9" s="135" customFormat="true" ht="16.7" hidden="false" customHeight="true" outlineLevel="0" collapsed="false">
      <c r="A9" s="151" t="s">
        <v>170</v>
      </c>
      <c r="B9" s="152" t="n">
        <v>1</v>
      </c>
      <c r="C9" s="153" t="n">
        <v>1850</v>
      </c>
      <c r="D9" s="153" t="n">
        <f aca="false">C9/12</f>
        <v>154.166666666667</v>
      </c>
      <c r="E9" s="153" t="n">
        <f aca="false">C9/12</f>
        <v>154.166666666667</v>
      </c>
      <c r="F9" s="153" t="n">
        <f aca="false">D9/3</f>
        <v>51.3888888888889</v>
      </c>
      <c r="G9" s="146" t="n">
        <f aca="false">(SUM(C9:F9))*B9</f>
        <v>2209.72222222222</v>
      </c>
      <c r="H9" s="146" t="n">
        <f aca="false">C9*0.08</f>
        <v>148</v>
      </c>
      <c r="I9" s="153" t="n">
        <f aca="false">H9*0.5</f>
        <v>74</v>
      </c>
      <c r="J9" s="147"/>
      <c r="K9" s="153" t="n">
        <v>0</v>
      </c>
      <c r="L9" s="153" t="n">
        <v>0</v>
      </c>
      <c r="M9" s="153"/>
      <c r="N9" s="153" t="n">
        <v>0</v>
      </c>
      <c r="O9" s="153" t="n">
        <v>0</v>
      </c>
      <c r="P9" s="153" t="n">
        <v>0</v>
      </c>
      <c r="Q9" s="153"/>
      <c r="R9" s="153" t="n">
        <v>0</v>
      </c>
      <c r="S9" s="146" t="n">
        <f aca="false">9*20</f>
        <v>180</v>
      </c>
      <c r="T9" s="146" t="n">
        <f aca="false">(SUM(H9:S9))*B9</f>
        <v>402</v>
      </c>
      <c r="U9" s="148" t="n">
        <f aca="false">G9+T9</f>
        <v>2611.72222222222</v>
      </c>
      <c r="IX9" s="133"/>
    </row>
    <row r="10" s="135" customFormat="true" ht="16.7" hidden="false" customHeight="true" outlineLevel="0" collapsed="false">
      <c r="A10" s="154" t="s">
        <v>171</v>
      </c>
      <c r="B10" s="155" t="n">
        <v>2</v>
      </c>
      <c r="C10" s="153" t="n">
        <v>1040.55</v>
      </c>
      <c r="D10" s="153" t="n">
        <f aca="false">C10/12</f>
        <v>86.7125</v>
      </c>
      <c r="E10" s="153" t="n">
        <f aca="false">C10/12</f>
        <v>86.7125</v>
      </c>
      <c r="F10" s="153" t="n">
        <f aca="false">D10/3</f>
        <v>28.9041666666667</v>
      </c>
      <c r="G10" s="146" t="n">
        <f aca="false">(SUM(C10:F10))*B10</f>
        <v>2485.75833333333</v>
      </c>
      <c r="H10" s="146" t="n">
        <f aca="false">C10*0.08</f>
        <v>83.244</v>
      </c>
      <c r="I10" s="153" t="n">
        <f aca="false">H10*0.5</f>
        <v>41.622</v>
      </c>
      <c r="J10" s="147"/>
      <c r="K10" s="153" t="n">
        <v>0</v>
      </c>
      <c r="L10" s="153" t="n">
        <v>0</v>
      </c>
      <c r="M10" s="153"/>
      <c r="N10" s="153" t="n">
        <v>0</v>
      </c>
      <c r="O10" s="153" t="n">
        <v>0</v>
      </c>
      <c r="P10" s="153" t="n">
        <v>0</v>
      </c>
      <c r="Q10" s="153"/>
      <c r="R10" s="153" t="n">
        <v>0</v>
      </c>
      <c r="S10" s="146" t="n">
        <f aca="false">9*20</f>
        <v>180</v>
      </c>
      <c r="T10" s="146" t="n">
        <f aca="false">(SUM(H10:S10))*B10</f>
        <v>609.732</v>
      </c>
      <c r="U10" s="148" t="n">
        <f aca="false">G10+T10</f>
        <v>3095.49033333333</v>
      </c>
      <c r="IX10" s="133"/>
    </row>
    <row r="11" s="135" customFormat="true" ht="16.7" hidden="false" customHeight="true" outlineLevel="0" collapsed="false">
      <c r="A11" s="154" t="s">
        <v>172</v>
      </c>
      <c r="B11" s="155" t="n">
        <v>1</v>
      </c>
      <c r="C11" s="153" t="n">
        <v>1050</v>
      </c>
      <c r="D11" s="153" t="n">
        <f aca="false">C11/12</f>
        <v>87.5</v>
      </c>
      <c r="E11" s="153" t="n">
        <f aca="false">C11/12</f>
        <v>87.5</v>
      </c>
      <c r="F11" s="153" t="n">
        <f aca="false">D11/3</f>
        <v>29.1666666666667</v>
      </c>
      <c r="G11" s="146" t="n">
        <f aca="false">(SUM(C11:F11))*B11</f>
        <v>1254.16666666667</v>
      </c>
      <c r="H11" s="146" t="n">
        <f aca="false">C11*0.08</f>
        <v>84</v>
      </c>
      <c r="I11" s="153" t="n">
        <f aca="false">H11*0.5</f>
        <v>42</v>
      </c>
      <c r="J11" s="147"/>
      <c r="K11" s="153" t="n">
        <v>0</v>
      </c>
      <c r="L11" s="153" t="n">
        <v>0</v>
      </c>
      <c r="M11" s="153"/>
      <c r="N11" s="153" t="n">
        <v>0</v>
      </c>
      <c r="O11" s="153" t="n">
        <v>0</v>
      </c>
      <c r="P11" s="153" t="n">
        <v>0</v>
      </c>
      <c r="Q11" s="153"/>
      <c r="R11" s="153" t="n">
        <v>0</v>
      </c>
      <c r="S11" s="146" t="n">
        <f aca="false">9*20</f>
        <v>180</v>
      </c>
      <c r="T11" s="146" t="n">
        <f aca="false">(SUM(H11:S11))*B11</f>
        <v>306</v>
      </c>
      <c r="U11" s="148" t="n">
        <f aca="false">G11+T11</f>
        <v>1560.16666666667</v>
      </c>
      <c r="IX11" s="133"/>
    </row>
    <row r="12" s="135" customFormat="true" ht="16.7" hidden="false" customHeight="true" outlineLevel="0" collapsed="false">
      <c r="A12" s="151" t="s">
        <v>173</v>
      </c>
      <c r="B12" s="152" t="n">
        <v>1</v>
      </c>
      <c r="C12" s="153" t="n">
        <v>1200</v>
      </c>
      <c r="D12" s="153" t="n">
        <f aca="false">C12/12</f>
        <v>100</v>
      </c>
      <c r="E12" s="153" t="n">
        <f aca="false">C12/12</f>
        <v>100</v>
      </c>
      <c r="F12" s="153" t="n">
        <f aca="false">D12/3</f>
        <v>33.3333333333333</v>
      </c>
      <c r="G12" s="146" t="n">
        <f aca="false">(SUM(C12:F12))*B12</f>
        <v>1433.33333333333</v>
      </c>
      <c r="H12" s="146" t="n">
        <f aca="false">C12*0.08</f>
        <v>96</v>
      </c>
      <c r="I12" s="153" t="n">
        <f aca="false">H12*0.5</f>
        <v>48</v>
      </c>
      <c r="J12" s="147"/>
      <c r="K12" s="153" t="n">
        <v>0</v>
      </c>
      <c r="L12" s="153" t="n">
        <v>0</v>
      </c>
      <c r="M12" s="153"/>
      <c r="N12" s="153" t="n">
        <v>0</v>
      </c>
      <c r="O12" s="153" t="n">
        <v>0</v>
      </c>
      <c r="P12" s="153" t="n">
        <v>0</v>
      </c>
      <c r="Q12" s="153"/>
      <c r="R12" s="153" t="n">
        <v>0</v>
      </c>
      <c r="S12" s="146" t="n">
        <f aca="false">9*20</f>
        <v>180</v>
      </c>
      <c r="T12" s="146" t="n">
        <f aca="false">(SUM(H12:S12))*B12</f>
        <v>324</v>
      </c>
      <c r="U12" s="148" t="n">
        <f aca="false">G12+T12</f>
        <v>1757.33333333333</v>
      </c>
      <c r="IX12" s="133"/>
    </row>
    <row r="13" s="135" customFormat="true" ht="16.7" hidden="false" customHeight="true" outlineLevel="0" collapsed="false">
      <c r="A13" s="154" t="s">
        <v>174</v>
      </c>
      <c r="B13" s="155" t="n">
        <v>1</v>
      </c>
      <c r="C13" s="153" t="n">
        <v>1400</v>
      </c>
      <c r="D13" s="153" t="n">
        <f aca="false">C13/12</f>
        <v>116.666666666667</v>
      </c>
      <c r="E13" s="153" t="n">
        <f aca="false">C13/12</f>
        <v>116.666666666667</v>
      </c>
      <c r="F13" s="153" t="n">
        <f aca="false">D13/3</f>
        <v>38.8888888888889</v>
      </c>
      <c r="G13" s="146" t="n">
        <f aca="false">(SUM(C13:F13))*B13</f>
        <v>1672.22222222222</v>
      </c>
      <c r="H13" s="146" t="n">
        <f aca="false">C13*0.08</f>
        <v>112</v>
      </c>
      <c r="I13" s="153" t="n">
        <f aca="false">H13*0.5</f>
        <v>56</v>
      </c>
      <c r="J13" s="147"/>
      <c r="K13" s="153" t="n">
        <v>0</v>
      </c>
      <c r="L13" s="153" t="n">
        <v>0</v>
      </c>
      <c r="M13" s="153"/>
      <c r="N13" s="153" t="n">
        <v>0</v>
      </c>
      <c r="O13" s="153" t="n">
        <v>0</v>
      </c>
      <c r="P13" s="153" t="n">
        <v>0</v>
      </c>
      <c r="Q13" s="153"/>
      <c r="R13" s="153" t="n">
        <v>0</v>
      </c>
      <c r="S13" s="146" t="n">
        <f aca="false">9*20</f>
        <v>180</v>
      </c>
      <c r="T13" s="146" t="n">
        <f aca="false">(SUM(H13:S13))*B13</f>
        <v>348</v>
      </c>
      <c r="U13" s="148" t="n">
        <f aca="false">G13+T13</f>
        <v>2020.22222222222</v>
      </c>
      <c r="IX13" s="133"/>
    </row>
    <row r="14" s="135" customFormat="true" ht="16.7" hidden="false" customHeight="true" outlineLevel="0" collapsed="false">
      <c r="A14" s="151" t="s">
        <v>175</v>
      </c>
      <c r="B14" s="152" t="n">
        <v>1</v>
      </c>
      <c r="C14" s="153" t="n">
        <v>1800</v>
      </c>
      <c r="D14" s="153" t="n">
        <f aca="false">C14/12</f>
        <v>150</v>
      </c>
      <c r="E14" s="153" t="n">
        <f aca="false">C14/12</f>
        <v>150</v>
      </c>
      <c r="F14" s="153" t="n">
        <f aca="false">D14/3</f>
        <v>50</v>
      </c>
      <c r="G14" s="146" t="n">
        <f aca="false">(SUM(C14:F14))*B14</f>
        <v>2150</v>
      </c>
      <c r="H14" s="146" t="n">
        <f aca="false">C14*0.08</f>
        <v>144</v>
      </c>
      <c r="I14" s="153" t="n">
        <f aca="false">H14*0.5</f>
        <v>72</v>
      </c>
      <c r="J14" s="147"/>
      <c r="K14" s="153" t="n">
        <v>0</v>
      </c>
      <c r="L14" s="153" t="n">
        <v>0</v>
      </c>
      <c r="M14" s="153"/>
      <c r="N14" s="153" t="n">
        <v>0</v>
      </c>
      <c r="O14" s="153" t="n">
        <v>0</v>
      </c>
      <c r="P14" s="153" t="n">
        <v>0</v>
      </c>
      <c r="Q14" s="153"/>
      <c r="R14" s="153" t="n">
        <v>0</v>
      </c>
      <c r="S14" s="146" t="n">
        <f aca="false">9*20</f>
        <v>180</v>
      </c>
      <c r="T14" s="146" t="n">
        <f aca="false">(SUM(H14:S14))*B14</f>
        <v>396</v>
      </c>
      <c r="U14" s="148" t="n">
        <f aca="false">G14+T14</f>
        <v>2546</v>
      </c>
      <c r="IX14" s="133"/>
    </row>
    <row r="15" s="135" customFormat="true" ht="16.7" hidden="false" customHeight="true" outlineLevel="0" collapsed="false">
      <c r="A15" s="151" t="s">
        <v>176</v>
      </c>
      <c r="B15" s="152" t="n">
        <v>1</v>
      </c>
      <c r="C15" s="153" t="n">
        <v>4458.09</v>
      </c>
      <c r="D15" s="153" t="n">
        <f aca="false">C15/12</f>
        <v>371.5075</v>
      </c>
      <c r="E15" s="153" t="n">
        <f aca="false">C15/12</f>
        <v>371.5075</v>
      </c>
      <c r="F15" s="153" t="n">
        <f aca="false">D15/3</f>
        <v>123.835833333333</v>
      </c>
      <c r="G15" s="146" t="n">
        <f aca="false">(SUM(C15:F15))*B15</f>
        <v>5324.94083333333</v>
      </c>
      <c r="H15" s="146" t="n">
        <f aca="false">C15*0.08</f>
        <v>356.6472</v>
      </c>
      <c r="I15" s="153" t="n">
        <f aca="false">H15*0.5</f>
        <v>178.3236</v>
      </c>
      <c r="J15" s="147"/>
      <c r="K15" s="153" t="n">
        <v>0</v>
      </c>
      <c r="L15" s="153" t="n">
        <v>0</v>
      </c>
      <c r="M15" s="153"/>
      <c r="N15" s="153" t="n">
        <v>0</v>
      </c>
      <c r="O15" s="153" t="n">
        <v>0</v>
      </c>
      <c r="P15" s="153" t="n">
        <v>0</v>
      </c>
      <c r="Q15" s="153"/>
      <c r="R15" s="153" t="n">
        <v>0</v>
      </c>
      <c r="S15" s="146" t="n">
        <f aca="false">9*20</f>
        <v>180</v>
      </c>
      <c r="T15" s="146" t="n">
        <f aca="false">(SUM(H15:S15))*B15</f>
        <v>714.9708</v>
      </c>
      <c r="U15" s="148" t="n">
        <f aca="false">G15+T15</f>
        <v>6039.91163333333</v>
      </c>
      <c r="IX15" s="133"/>
    </row>
    <row r="16" s="135" customFormat="true" ht="16.7" hidden="false" customHeight="true" outlineLevel="0" collapsed="false">
      <c r="A16" s="151" t="s">
        <v>177</v>
      </c>
      <c r="B16" s="152" t="n">
        <v>1</v>
      </c>
      <c r="C16" s="153" t="n">
        <v>3050.7</v>
      </c>
      <c r="D16" s="153" t="n">
        <f aca="false">C16/12</f>
        <v>254.225</v>
      </c>
      <c r="E16" s="153" t="n">
        <f aca="false">C16/12</f>
        <v>254.225</v>
      </c>
      <c r="F16" s="153" t="n">
        <f aca="false">D16/3</f>
        <v>84.7416666666667</v>
      </c>
      <c r="G16" s="146" t="n">
        <f aca="false">(SUM(C16:F16))*B16</f>
        <v>3643.89166666667</v>
      </c>
      <c r="H16" s="146" t="n">
        <f aca="false">C16*0.08</f>
        <v>244.056</v>
      </c>
      <c r="I16" s="153" t="n">
        <f aca="false">H16*0.5</f>
        <v>122.028</v>
      </c>
      <c r="J16" s="147"/>
      <c r="K16" s="153" t="n">
        <v>0</v>
      </c>
      <c r="L16" s="153" t="n">
        <v>0</v>
      </c>
      <c r="M16" s="153"/>
      <c r="N16" s="153" t="n">
        <v>0</v>
      </c>
      <c r="O16" s="153" t="n">
        <v>0</v>
      </c>
      <c r="P16" s="153" t="n">
        <v>0</v>
      </c>
      <c r="Q16" s="153"/>
      <c r="R16" s="153" t="n">
        <v>0</v>
      </c>
      <c r="S16" s="146" t="n">
        <f aca="false">9*20</f>
        <v>180</v>
      </c>
      <c r="T16" s="146" t="n">
        <f aca="false">(SUM(H16:S16))*B16</f>
        <v>546.084</v>
      </c>
      <c r="U16" s="148" t="n">
        <f aca="false">G16+T16</f>
        <v>4189.97566666667</v>
      </c>
      <c r="IX16" s="133"/>
    </row>
    <row r="17" s="150" customFormat="true" ht="16.7" hidden="false" customHeight="true" outlineLevel="0" collapsed="false">
      <c r="A17" s="154"/>
      <c r="B17" s="155"/>
      <c r="C17" s="153" t="n">
        <v>0</v>
      </c>
      <c r="D17" s="153" t="n">
        <f aca="false">C17/12</f>
        <v>0</v>
      </c>
      <c r="E17" s="153" t="n">
        <f aca="false">C17/12</f>
        <v>0</v>
      </c>
      <c r="F17" s="153" t="n">
        <f aca="false">D17/3</f>
        <v>0</v>
      </c>
      <c r="G17" s="146" t="n">
        <f aca="false">(SUM(C17:F17))*B17</f>
        <v>0</v>
      </c>
      <c r="H17" s="146" t="n">
        <f aca="false">C17*0.08</f>
        <v>0</v>
      </c>
      <c r="I17" s="153" t="n">
        <f aca="false">H17*0.5</f>
        <v>0</v>
      </c>
      <c r="J17" s="147"/>
      <c r="K17" s="153" t="n">
        <v>0</v>
      </c>
      <c r="L17" s="153" t="n">
        <v>0</v>
      </c>
      <c r="M17" s="153"/>
      <c r="N17" s="153" t="n">
        <v>0</v>
      </c>
      <c r="O17" s="153" t="n">
        <v>0</v>
      </c>
      <c r="P17" s="153" t="n">
        <v>0</v>
      </c>
      <c r="Q17" s="153"/>
      <c r="R17" s="153" t="n">
        <v>0</v>
      </c>
      <c r="S17" s="153"/>
      <c r="T17" s="146" t="n">
        <f aca="false">(SUM(H17:S17))*B17</f>
        <v>0</v>
      </c>
      <c r="U17" s="148" t="n">
        <f aca="false">G17+T17</f>
        <v>0</v>
      </c>
      <c r="V17" s="156"/>
      <c r="W17" s="156"/>
    </row>
    <row r="18" s="150" customFormat="true" ht="16.7" hidden="false" customHeight="true" outlineLevel="0" collapsed="false">
      <c r="A18" s="154"/>
      <c r="B18" s="155"/>
      <c r="C18" s="153" t="n">
        <v>0</v>
      </c>
      <c r="D18" s="153" t="n">
        <f aca="false">C18/12</f>
        <v>0</v>
      </c>
      <c r="E18" s="153" t="n">
        <f aca="false">C18/12</f>
        <v>0</v>
      </c>
      <c r="F18" s="153" t="n">
        <f aca="false">D18/3</f>
        <v>0</v>
      </c>
      <c r="G18" s="146" t="n">
        <f aca="false">(SUM(C18:F18))*B18</f>
        <v>0</v>
      </c>
      <c r="H18" s="146" t="n">
        <f aca="false">C18*0.08</f>
        <v>0</v>
      </c>
      <c r="I18" s="153" t="n">
        <f aca="false">H18*0.5</f>
        <v>0</v>
      </c>
      <c r="J18" s="147" t="n">
        <f aca="false">(G18*0.2)</f>
        <v>0</v>
      </c>
      <c r="K18" s="153" t="n">
        <v>0</v>
      </c>
      <c r="L18" s="153" t="n">
        <v>0</v>
      </c>
      <c r="M18" s="153" t="n">
        <f aca="false">G18*0.01</f>
        <v>0</v>
      </c>
      <c r="N18" s="153" t="n">
        <v>0</v>
      </c>
      <c r="O18" s="153" t="n">
        <v>0</v>
      </c>
      <c r="P18" s="153" t="n">
        <v>0</v>
      </c>
      <c r="Q18" s="153"/>
      <c r="R18" s="153" t="n">
        <v>0</v>
      </c>
      <c r="S18" s="153"/>
      <c r="T18" s="146" t="n">
        <f aca="false">(SUM(H18:S18))*B18</f>
        <v>0</v>
      </c>
      <c r="U18" s="148" t="n">
        <f aca="false">G18+T18</f>
        <v>0</v>
      </c>
      <c r="V18" s="156"/>
      <c r="W18" s="156"/>
    </row>
    <row r="19" s="150" customFormat="true" ht="16.7" hidden="false" customHeight="true" outlineLevel="0" collapsed="false">
      <c r="A19" s="154"/>
      <c r="B19" s="155"/>
      <c r="C19" s="153" t="n">
        <v>0</v>
      </c>
      <c r="D19" s="153" t="n">
        <f aca="false">C19/12</f>
        <v>0</v>
      </c>
      <c r="E19" s="153" t="n">
        <f aca="false">C19/12</f>
        <v>0</v>
      </c>
      <c r="F19" s="153" t="n">
        <f aca="false">D19/3</f>
        <v>0</v>
      </c>
      <c r="G19" s="146" t="n">
        <f aca="false">(SUM(C19:F19))*B19</f>
        <v>0</v>
      </c>
      <c r="H19" s="146" t="n">
        <f aca="false">C19*0.08</f>
        <v>0</v>
      </c>
      <c r="I19" s="153" t="n">
        <f aca="false">H19*0.5</f>
        <v>0</v>
      </c>
      <c r="J19" s="147" t="n">
        <f aca="false">(G19*0.2)</f>
        <v>0</v>
      </c>
      <c r="K19" s="153" t="n">
        <v>0</v>
      </c>
      <c r="L19" s="153" t="n">
        <v>0</v>
      </c>
      <c r="M19" s="153" t="n">
        <f aca="false">G19*0.01</f>
        <v>0</v>
      </c>
      <c r="N19" s="153" t="n">
        <v>0</v>
      </c>
      <c r="O19" s="153" t="n">
        <v>0</v>
      </c>
      <c r="P19" s="153" t="n">
        <v>0</v>
      </c>
      <c r="Q19" s="153"/>
      <c r="R19" s="153" t="n">
        <v>0</v>
      </c>
      <c r="S19" s="153"/>
      <c r="T19" s="146" t="n">
        <f aca="false">(SUM(H19:S19))*B19</f>
        <v>0</v>
      </c>
      <c r="U19" s="148" t="n">
        <f aca="false">G19+T19</f>
        <v>0</v>
      </c>
      <c r="V19" s="156"/>
      <c r="W19" s="156"/>
    </row>
    <row r="20" s="150" customFormat="true" ht="16.7" hidden="false" customHeight="true" outlineLevel="0" collapsed="false">
      <c r="A20" s="154"/>
      <c r="B20" s="155"/>
      <c r="C20" s="153" t="n">
        <v>0</v>
      </c>
      <c r="D20" s="153" t="n">
        <f aca="false">C20/12</f>
        <v>0</v>
      </c>
      <c r="E20" s="153" t="n">
        <f aca="false">C20/12</f>
        <v>0</v>
      </c>
      <c r="F20" s="153" t="n">
        <f aca="false">D20/3</f>
        <v>0</v>
      </c>
      <c r="G20" s="146" t="n">
        <f aca="false">(SUM(C20:F20))*B20</f>
        <v>0</v>
      </c>
      <c r="H20" s="146" t="n">
        <f aca="false">C20*0.08</f>
        <v>0</v>
      </c>
      <c r="I20" s="153" t="n">
        <f aca="false">H20*0.5</f>
        <v>0</v>
      </c>
      <c r="J20" s="147" t="n">
        <f aca="false">(G20*0.2)</f>
        <v>0</v>
      </c>
      <c r="K20" s="153" t="n">
        <v>0</v>
      </c>
      <c r="L20" s="153" t="n">
        <v>0</v>
      </c>
      <c r="M20" s="153" t="n">
        <f aca="false">G20*0.01</f>
        <v>0</v>
      </c>
      <c r="N20" s="153" t="n">
        <v>0</v>
      </c>
      <c r="O20" s="153" t="n">
        <v>0</v>
      </c>
      <c r="P20" s="153" t="n">
        <v>0</v>
      </c>
      <c r="Q20" s="153"/>
      <c r="R20" s="153" t="n">
        <v>0</v>
      </c>
      <c r="S20" s="153"/>
      <c r="T20" s="146" t="n">
        <f aca="false">(SUM(H20:S20))*B20</f>
        <v>0</v>
      </c>
      <c r="U20" s="148" t="n">
        <f aca="false">G20+T20</f>
        <v>0</v>
      </c>
      <c r="V20" s="156"/>
      <c r="W20" s="156"/>
    </row>
    <row r="21" s="135" customFormat="true" ht="16.7" hidden="false" customHeight="true" outlineLevel="0" collapsed="false">
      <c r="A21" s="154"/>
      <c r="B21" s="155"/>
      <c r="C21" s="153" t="n">
        <v>0</v>
      </c>
      <c r="D21" s="153"/>
      <c r="E21" s="153"/>
      <c r="F21" s="153" t="n">
        <f aca="false">D21/3</f>
        <v>0</v>
      </c>
      <c r="G21" s="146" t="n">
        <f aca="false">(SUM(C21:F21))*B21</f>
        <v>0</v>
      </c>
      <c r="H21" s="146" t="n">
        <f aca="false">C21*0.08</f>
        <v>0</v>
      </c>
      <c r="I21" s="153" t="n">
        <f aca="false">H21*0.5</f>
        <v>0</v>
      </c>
      <c r="J21" s="147" t="n">
        <f aca="false">(G21*0.2)</f>
        <v>0</v>
      </c>
      <c r="K21" s="153" t="n">
        <v>0</v>
      </c>
      <c r="L21" s="153" t="n">
        <v>0</v>
      </c>
      <c r="M21" s="153" t="n">
        <f aca="false">G21*0.01</f>
        <v>0</v>
      </c>
      <c r="N21" s="153" t="n">
        <v>0</v>
      </c>
      <c r="O21" s="153" t="n">
        <v>0</v>
      </c>
      <c r="P21" s="153" t="n">
        <v>0</v>
      </c>
      <c r="Q21" s="153"/>
      <c r="R21" s="153" t="n">
        <v>0</v>
      </c>
      <c r="S21" s="153"/>
      <c r="T21" s="146" t="n">
        <f aca="false">(SUM(H21:S21))*B21</f>
        <v>0</v>
      </c>
      <c r="U21" s="148" t="n">
        <f aca="false">G21+T21</f>
        <v>0</v>
      </c>
      <c r="V21" s="156"/>
      <c r="W21" s="156"/>
      <c r="IX21" s="133"/>
    </row>
    <row r="22" s="135" customFormat="true" ht="13.8" hidden="false" customHeight="false" outlineLevel="0" collapsed="false">
      <c r="A22" s="154"/>
      <c r="B22" s="155"/>
      <c r="C22" s="153" t="n">
        <v>0</v>
      </c>
      <c r="D22" s="153" t="n">
        <f aca="false">C22/12</f>
        <v>0</v>
      </c>
      <c r="E22" s="153" t="n">
        <f aca="false">C22/12</f>
        <v>0</v>
      </c>
      <c r="F22" s="153" t="n">
        <f aca="false">D22/3</f>
        <v>0</v>
      </c>
      <c r="G22" s="146" t="n">
        <f aca="false">(SUM(C22:F22))*B22</f>
        <v>0</v>
      </c>
      <c r="H22" s="146" t="n">
        <f aca="false">C22*0.08</f>
        <v>0</v>
      </c>
      <c r="I22" s="153" t="n">
        <f aca="false">H22*0.5</f>
        <v>0</v>
      </c>
      <c r="J22" s="147" t="n">
        <f aca="false">(G22*0.2)</f>
        <v>0</v>
      </c>
      <c r="K22" s="153" t="n">
        <v>0</v>
      </c>
      <c r="L22" s="153" t="n">
        <v>0</v>
      </c>
      <c r="M22" s="153" t="n">
        <f aca="false">G22*0.01</f>
        <v>0</v>
      </c>
      <c r="N22" s="153" t="n">
        <v>0</v>
      </c>
      <c r="O22" s="153" t="n">
        <v>0</v>
      </c>
      <c r="P22" s="153" t="n">
        <v>0</v>
      </c>
      <c r="Q22" s="153"/>
      <c r="R22" s="153" t="n">
        <v>0</v>
      </c>
      <c r="S22" s="153"/>
      <c r="T22" s="146" t="n">
        <f aca="false">(SUM(H22:S22))*B22</f>
        <v>0</v>
      </c>
      <c r="U22" s="148" t="n">
        <f aca="false">G22+T22</f>
        <v>0</v>
      </c>
      <c r="V22" s="156"/>
      <c r="W22" s="156"/>
      <c r="IX22" s="133"/>
    </row>
    <row r="23" s="135" customFormat="true" ht="13.8" hidden="false" customHeight="false" outlineLevel="0" collapsed="false">
      <c r="A23" s="157"/>
      <c r="B23" s="158"/>
      <c r="C23" s="159" t="n">
        <v>0</v>
      </c>
      <c r="D23" s="159" t="n">
        <f aca="false">C23/12</f>
        <v>0</v>
      </c>
      <c r="E23" s="159" t="n">
        <f aca="false">C23/12</f>
        <v>0</v>
      </c>
      <c r="F23" s="159" t="n">
        <f aca="false">D23/3</f>
        <v>0</v>
      </c>
      <c r="G23" s="146" t="n">
        <f aca="false">(SUM(C23:F23))*B23</f>
        <v>0</v>
      </c>
      <c r="H23" s="146" t="n">
        <f aca="false">C23*0.08</f>
        <v>0</v>
      </c>
      <c r="I23" s="159" t="n">
        <f aca="false">H23*0.5</f>
        <v>0</v>
      </c>
      <c r="J23" s="147" t="n">
        <f aca="false">(G23*0.2)</f>
        <v>0</v>
      </c>
      <c r="K23" s="159" t="n">
        <v>0</v>
      </c>
      <c r="L23" s="159" t="n">
        <v>0</v>
      </c>
      <c r="M23" s="159" t="n">
        <f aca="false">G23*0.01</f>
        <v>0</v>
      </c>
      <c r="N23" s="159" t="n">
        <v>0</v>
      </c>
      <c r="O23" s="159" t="n">
        <v>0</v>
      </c>
      <c r="P23" s="159" t="n">
        <v>0</v>
      </c>
      <c r="Q23" s="159"/>
      <c r="R23" s="159" t="n">
        <v>0</v>
      </c>
      <c r="S23" s="159"/>
      <c r="T23" s="146" t="n">
        <f aca="false">(SUM(H23:S23))*B23</f>
        <v>0</v>
      </c>
      <c r="U23" s="148" t="n">
        <f aca="false">G23+T23</f>
        <v>0</v>
      </c>
      <c r="V23" s="156"/>
      <c r="W23" s="156"/>
      <c r="IX23" s="133"/>
    </row>
    <row r="24" s="166" customFormat="true" ht="16.7" hidden="false" customHeight="true" outlineLevel="0" collapsed="false">
      <c r="A24" s="160" t="s">
        <v>178</v>
      </c>
      <c r="B24" s="160" t="n">
        <f aca="false">SUM(B5:B23)</f>
        <v>14</v>
      </c>
      <c r="C24" s="161" t="n">
        <f aca="false">SUM(C5:C23)</f>
        <v>22049.34</v>
      </c>
      <c r="D24" s="161" t="n">
        <f aca="false">SUM(D5:D23)</f>
        <v>1837.445</v>
      </c>
      <c r="E24" s="161" t="n">
        <f aca="false">SUM(E5:E23)</f>
        <v>1837.445</v>
      </c>
      <c r="F24" s="161" t="n">
        <f aca="false">SUM(F5:F23)</f>
        <v>612.481666666667</v>
      </c>
      <c r="G24" s="161" t="n">
        <f aca="false">SUM(G5:G23)</f>
        <v>28893.4797222222</v>
      </c>
      <c r="H24" s="162" t="n">
        <f aca="false">SUM(H5:H23)</f>
        <v>1763.9472</v>
      </c>
      <c r="I24" s="162" t="n">
        <f aca="false">SUM(I5:I23)</f>
        <v>881.9736</v>
      </c>
      <c r="J24" s="162" t="n">
        <f aca="false">SUM(J5:J23)</f>
        <v>0</v>
      </c>
      <c r="K24" s="162" t="n">
        <f aca="false">SUM(K5:K23)</f>
        <v>0</v>
      </c>
      <c r="L24" s="162" t="n">
        <f aca="false">SUM(L5:L23)</f>
        <v>0</v>
      </c>
      <c r="M24" s="162" t="n">
        <f aca="false">SUM(M5:M23)</f>
        <v>0</v>
      </c>
      <c r="N24" s="162" t="n">
        <f aca="false">SUM(N5:N23)</f>
        <v>0</v>
      </c>
      <c r="O24" s="162" t="n">
        <f aca="false">SUM(O5:O23)</f>
        <v>0</v>
      </c>
      <c r="P24" s="162" t="n">
        <f aca="false">SUM(P5:P23)</f>
        <v>0</v>
      </c>
      <c r="Q24" s="162" t="n">
        <f aca="false">SUM(Q5:Q23)</f>
        <v>0</v>
      </c>
      <c r="R24" s="162" t="n">
        <f aca="false">SUM(R5:R23)</f>
        <v>0</v>
      </c>
      <c r="S24" s="162"/>
      <c r="T24" s="162" t="n">
        <f aca="false">SUM(T5:T23)</f>
        <v>5422.7868</v>
      </c>
      <c r="U24" s="163" t="n">
        <f aca="false">SUM(U5:U23)</f>
        <v>34316.2665222222</v>
      </c>
      <c r="V24" s="164"/>
      <c r="W24" s="165"/>
    </row>
    <row r="25" customFormat="false" ht="15" hidden="false" customHeight="false" outlineLevel="0" collapsed="false">
      <c r="A25" s="167" t="s">
        <v>179</v>
      </c>
      <c r="B25" s="167"/>
      <c r="C25" s="168" t="n">
        <f aca="false">C24*12</f>
        <v>264592.08</v>
      </c>
      <c r="D25" s="169"/>
      <c r="E25" s="169"/>
      <c r="F25" s="169"/>
      <c r="G25" s="170" t="n">
        <f aca="false">G24*12</f>
        <v>346721.756666667</v>
      </c>
      <c r="H25" s="171" t="n">
        <f aca="false">H24*12</f>
        <v>21167.3664</v>
      </c>
      <c r="I25" s="171" t="n">
        <f aca="false">I24*12</f>
        <v>10583.6832</v>
      </c>
      <c r="J25" s="172" t="n">
        <f aca="false">J24*12</f>
        <v>0</v>
      </c>
      <c r="K25" s="173"/>
      <c r="L25" s="173"/>
      <c r="M25" s="172" t="n">
        <f aca="false">M24*12</f>
        <v>0</v>
      </c>
      <c r="N25" s="173"/>
      <c r="O25" s="173"/>
      <c r="P25" s="173"/>
      <c r="Q25" s="172" t="n">
        <f aca="false">Q24*12</f>
        <v>0</v>
      </c>
      <c r="R25" s="173"/>
      <c r="S25" s="173"/>
      <c r="T25" s="171" t="n">
        <v>65073.45</v>
      </c>
      <c r="U25" s="174" t="n">
        <f aca="false">U24*12</f>
        <v>411795.198266667</v>
      </c>
    </row>
    <row r="26" customFormat="false" ht="19.5" hidden="false" customHeight="true" outlineLevel="0" collapsed="false">
      <c r="A26" s="175"/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7"/>
    </row>
    <row r="27" customFormat="false" ht="19.5" hidden="false" customHeight="true" outlineLevel="0" collapsed="false">
      <c r="A27" s="175"/>
      <c r="B27" s="175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7"/>
    </row>
    <row r="28" customFormat="false" ht="18" hidden="false" customHeight="true" outlineLevel="0" collapsed="false">
      <c r="A28" s="178" t="s">
        <v>180</v>
      </c>
      <c r="B28" s="178"/>
      <c r="U28" s="179"/>
    </row>
    <row r="29" customFormat="false" ht="21.75" hidden="false" customHeight="true" outlineLevel="0" collapsed="false">
      <c r="C29" s="133" t="s">
        <v>181</v>
      </c>
      <c r="D29" s="133" t="s">
        <v>148</v>
      </c>
      <c r="E29" s="133" t="s">
        <v>126</v>
      </c>
      <c r="L29" s="179"/>
      <c r="Q29" s="180"/>
      <c r="U29" s="180"/>
    </row>
    <row r="30" customFormat="false" ht="15" hidden="false" customHeight="false" outlineLevel="0" collapsed="false">
      <c r="A30" s="133" t="s">
        <v>167</v>
      </c>
      <c r="C30" s="133" t="n">
        <v>3</v>
      </c>
      <c r="D30" s="179" t="n">
        <v>1300</v>
      </c>
      <c r="E30" s="179" t="n">
        <f aca="false">C30*D30</f>
        <v>3900</v>
      </c>
      <c r="Q30" s="180"/>
      <c r="T30" s="180"/>
    </row>
    <row r="31" customFormat="false" ht="15" hidden="false" customHeight="false" outlineLevel="0" collapsed="false">
      <c r="A31" s="133" t="s">
        <v>169</v>
      </c>
      <c r="C31" s="133" t="n">
        <v>3</v>
      </c>
      <c r="D31" s="179" t="n">
        <v>1200</v>
      </c>
      <c r="E31" s="179" t="n">
        <f aca="false">C31*D31</f>
        <v>3600</v>
      </c>
    </row>
  </sheetData>
  <mergeCells count="6">
    <mergeCell ref="A1:U1"/>
    <mergeCell ref="A2:U2"/>
    <mergeCell ref="A3:A4"/>
    <mergeCell ref="B3:G3"/>
    <mergeCell ref="H3:T3"/>
    <mergeCell ref="U3:U4"/>
  </mergeCells>
  <printOptions headings="false" gridLines="false" gridLinesSet="true" horizontalCentered="true" verticalCentered="false"/>
  <pageMargins left="0" right="0" top="0.7875" bottom="0.7875" header="0.511805555555555" footer="0.511805555555555"/>
  <pageSetup paperSize="9" scale="69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IY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33" width="29.29"/>
    <col collapsed="false" customWidth="true" hidden="false" outlineLevel="0" max="2" min="2" style="133" width="7.87"/>
    <col collapsed="false" customWidth="true" hidden="false" outlineLevel="0" max="3" min="3" style="133" width="11.14"/>
    <col collapsed="false" customWidth="true" hidden="false" outlineLevel="0" max="4" min="4" style="133" width="9.85"/>
    <col collapsed="false" customWidth="true" hidden="false" outlineLevel="0" max="5" min="5" style="133" width="10.58"/>
    <col collapsed="false" customWidth="true" hidden="false" outlineLevel="0" max="6" min="6" style="133" width="10.42"/>
    <col collapsed="false" customWidth="true" hidden="false" outlineLevel="0" max="7" min="7" style="133" width="12.29"/>
    <col collapsed="false" customWidth="true" hidden="false" outlineLevel="0" max="8" min="8" style="133" width="10.13"/>
    <col collapsed="false" customWidth="false" hidden="false" outlineLevel="0" max="9" min="9" style="133" width="11.42"/>
    <col collapsed="false" customWidth="true" hidden="false" outlineLevel="0" max="10" min="10" style="133" width="9.59"/>
    <col collapsed="false" customWidth="true" hidden="false" outlineLevel="0" max="11" min="11" style="133" width="9.13"/>
    <col collapsed="false" customWidth="true" hidden="false" outlineLevel="0" max="12" min="12" style="133" width="9.29"/>
    <col collapsed="false" customWidth="true" hidden="false" outlineLevel="0" max="13" min="13" style="133" width="6.57"/>
    <col collapsed="false" customWidth="true" hidden="true" outlineLevel="0" max="14" min="14" style="133" width="7.71"/>
    <col collapsed="false" customWidth="true" hidden="true" outlineLevel="0" max="15" min="15" style="133" width="10.85"/>
    <col collapsed="false" customWidth="true" hidden="true" outlineLevel="0" max="16" min="16" style="133" width="12.71"/>
    <col collapsed="false" customWidth="true" hidden="false" outlineLevel="0" max="17" min="17" style="133" width="8.41"/>
    <col collapsed="false" customWidth="true" hidden="true" outlineLevel="0" max="18" min="18" style="133" width="10.42"/>
    <col collapsed="false" customWidth="true" hidden="false" outlineLevel="0" max="19" min="19" style="133" width="11.71"/>
    <col collapsed="false" customWidth="true" hidden="false" outlineLevel="0" max="20" min="20" style="133" width="10.99"/>
    <col collapsed="false" customWidth="true" hidden="false" outlineLevel="0" max="21" min="21" style="133" width="11.3"/>
    <col collapsed="false" customWidth="true" hidden="false" outlineLevel="0" max="22" min="22" style="133" width="13.29"/>
    <col collapsed="false" customWidth="true" hidden="false" outlineLevel="0" max="23" min="23" style="133" width="11.71"/>
    <col collapsed="false" customWidth="true" hidden="false" outlineLevel="0" max="259" min="24" style="133" width="9.13"/>
    <col collapsed="false" customWidth="true" hidden="false" outlineLevel="0" max="1025" min="260" style="0" width="9.13"/>
  </cols>
  <sheetData>
    <row r="1" s="135" customFormat="true" ht="17.35" hidden="false" customHeight="false" outlineLevel="0" collapsed="false">
      <c r="A1" s="134" t="s">
        <v>142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IX1" s="133"/>
    </row>
    <row r="2" s="135" customFormat="true" ht="17.35" hidden="false" customHeight="false" outlineLevel="0" collapsed="false">
      <c r="A2" s="136" t="s">
        <v>182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IX2" s="133"/>
    </row>
    <row r="3" s="140" customFormat="true" ht="15.75" hidden="false" customHeight="true" outlineLevel="0" collapsed="false">
      <c r="A3" s="137" t="s">
        <v>144</v>
      </c>
      <c r="B3" s="137" t="s">
        <v>145</v>
      </c>
      <c r="C3" s="137"/>
      <c r="D3" s="137"/>
      <c r="E3" s="137"/>
      <c r="F3" s="137"/>
      <c r="G3" s="137"/>
      <c r="H3" s="138" t="s">
        <v>146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9" t="s">
        <v>147</v>
      </c>
    </row>
    <row r="4" s="143" customFormat="true" ht="54.75" hidden="false" customHeight="true" outlineLevel="0" collapsed="false">
      <c r="A4" s="137"/>
      <c r="B4" s="137" t="s">
        <v>88</v>
      </c>
      <c r="C4" s="141" t="s">
        <v>148</v>
      </c>
      <c r="D4" s="141" t="s">
        <v>149</v>
      </c>
      <c r="E4" s="141" t="s">
        <v>150</v>
      </c>
      <c r="F4" s="141" t="s">
        <v>151</v>
      </c>
      <c r="G4" s="141" t="s">
        <v>152</v>
      </c>
      <c r="H4" s="142" t="s">
        <v>153</v>
      </c>
      <c r="I4" s="142" t="s">
        <v>154</v>
      </c>
      <c r="J4" s="142" t="s">
        <v>155</v>
      </c>
      <c r="K4" s="142" t="s">
        <v>156</v>
      </c>
      <c r="L4" s="142" t="s">
        <v>157</v>
      </c>
      <c r="M4" s="142" t="s">
        <v>158</v>
      </c>
      <c r="N4" s="142" t="s">
        <v>159</v>
      </c>
      <c r="O4" s="142" t="s">
        <v>160</v>
      </c>
      <c r="P4" s="142" t="s">
        <v>161</v>
      </c>
      <c r="Q4" s="142" t="s">
        <v>162</v>
      </c>
      <c r="R4" s="142" t="s">
        <v>163</v>
      </c>
      <c r="S4" s="142" t="s">
        <v>164</v>
      </c>
      <c r="T4" s="142" t="s">
        <v>165</v>
      </c>
      <c r="U4" s="139"/>
    </row>
    <row r="5" s="135" customFormat="true" ht="13.8" hidden="false" customHeight="false" outlineLevel="0" collapsed="false">
      <c r="A5" s="154" t="s">
        <v>171</v>
      </c>
      <c r="B5" s="155" t="n">
        <v>1</v>
      </c>
      <c r="C5" s="153" t="n">
        <v>1040.55</v>
      </c>
      <c r="D5" s="153" t="n">
        <f aca="false">C5/12</f>
        <v>86.7125</v>
      </c>
      <c r="E5" s="153" t="n">
        <f aca="false">C5/12</f>
        <v>86.7125</v>
      </c>
      <c r="F5" s="153" t="n">
        <f aca="false">D5/3</f>
        <v>28.9041666666667</v>
      </c>
      <c r="G5" s="153" t="n">
        <f aca="false">(SUM(C5:F5))*B5</f>
        <v>1242.87916666667</v>
      </c>
      <c r="H5" s="153" t="n">
        <f aca="false">C5*0.08</f>
        <v>83.244</v>
      </c>
      <c r="I5" s="153" t="n">
        <f aca="false">H5*0.5</f>
        <v>41.622</v>
      </c>
      <c r="J5" s="147"/>
      <c r="K5" s="153" t="n">
        <v>0</v>
      </c>
      <c r="L5" s="153" t="n">
        <v>0</v>
      </c>
      <c r="M5" s="153"/>
      <c r="N5" s="153" t="n">
        <v>0</v>
      </c>
      <c r="O5" s="153" t="n">
        <v>0</v>
      </c>
      <c r="P5" s="153" t="n">
        <v>0</v>
      </c>
      <c r="Q5" s="153"/>
      <c r="R5" s="153" t="n">
        <v>0</v>
      </c>
      <c r="S5" s="153" t="n">
        <f aca="false">9*20</f>
        <v>180</v>
      </c>
      <c r="T5" s="153" t="n">
        <f aca="false">(SUM(H5:S5))*B5</f>
        <v>304.866</v>
      </c>
      <c r="U5" s="181" t="n">
        <f aca="false">G5+T5</f>
        <v>1547.74516666667</v>
      </c>
      <c r="IX5" s="133"/>
    </row>
    <row r="6" s="135" customFormat="true" ht="13.8" hidden="false" customHeight="false" outlineLevel="0" collapsed="false">
      <c r="A6" s="154" t="s">
        <v>183</v>
      </c>
      <c r="B6" s="155" t="n">
        <v>1</v>
      </c>
      <c r="C6" s="153" t="n">
        <v>1050</v>
      </c>
      <c r="D6" s="153" t="n">
        <f aca="false">C6/12</f>
        <v>87.5</v>
      </c>
      <c r="E6" s="153" t="n">
        <f aca="false">C6/12</f>
        <v>87.5</v>
      </c>
      <c r="F6" s="153" t="n">
        <f aca="false">D6/3</f>
        <v>29.1666666666667</v>
      </c>
      <c r="G6" s="153" t="n">
        <f aca="false">(SUM(C6:F6))*B6</f>
        <v>1254.16666666667</v>
      </c>
      <c r="H6" s="153" t="n">
        <f aca="false">C6*0.08</f>
        <v>84</v>
      </c>
      <c r="I6" s="153" t="n">
        <f aca="false">H6*0.5</f>
        <v>42</v>
      </c>
      <c r="J6" s="147"/>
      <c r="K6" s="153" t="n">
        <v>0</v>
      </c>
      <c r="L6" s="153" t="n">
        <v>0</v>
      </c>
      <c r="M6" s="153"/>
      <c r="N6" s="153" t="n">
        <v>0</v>
      </c>
      <c r="O6" s="153" t="n">
        <v>0</v>
      </c>
      <c r="P6" s="153" t="n">
        <v>0</v>
      </c>
      <c r="Q6" s="153"/>
      <c r="R6" s="153" t="n">
        <v>0</v>
      </c>
      <c r="S6" s="153" t="n">
        <f aca="false">9*20</f>
        <v>180</v>
      </c>
      <c r="T6" s="153" t="n">
        <f aca="false">(SUM(H6:S6))*B6</f>
        <v>306</v>
      </c>
      <c r="U6" s="181" t="n">
        <f aca="false">G6+T6</f>
        <v>1560.16666666667</v>
      </c>
      <c r="IX6" s="133"/>
    </row>
    <row r="7" s="135" customFormat="true" ht="13.8" hidden="false" customHeight="false" outlineLevel="0" collapsed="false">
      <c r="A7" s="151" t="s">
        <v>184</v>
      </c>
      <c r="B7" s="152" t="n">
        <v>1</v>
      </c>
      <c r="C7" s="153" t="n">
        <v>1100</v>
      </c>
      <c r="D7" s="153" t="n">
        <f aca="false">C7/12</f>
        <v>91.6666666666667</v>
      </c>
      <c r="E7" s="153" t="n">
        <f aca="false">C7/12</f>
        <v>91.6666666666667</v>
      </c>
      <c r="F7" s="153" t="n">
        <f aca="false">D7/3</f>
        <v>30.5555555555556</v>
      </c>
      <c r="G7" s="153" t="n">
        <f aca="false">(SUM(C7:F7))*B7</f>
        <v>1313.88888888889</v>
      </c>
      <c r="H7" s="153" t="n">
        <f aca="false">C7*0.08</f>
        <v>88</v>
      </c>
      <c r="I7" s="153" t="n">
        <f aca="false">H7*0.5</f>
        <v>44</v>
      </c>
      <c r="J7" s="147"/>
      <c r="K7" s="153" t="n">
        <v>0</v>
      </c>
      <c r="L7" s="153" t="n">
        <v>0</v>
      </c>
      <c r="M7" s="153"/>
      <c r="N7" s="153" t="n">
        <v>0</v>
      </c>
      <c r="O7" s="153" t="n">
        <v>0</v>
      </c>
      <c r="P7" s="153" t="n">
        <v>0</v>
      </c>
      <c r="Q7" s="153"/>
      <c r="R7" s="153" t="n">
        <v>0</v>
      </c>
      <c r="S7" s="153" t="n">
        <f aca="false">9*20</f>
        <v>180</v>
      </c>
      <c r="T7" s="153" t="n">
        <f aca="false">(SUM(H7:S7))*B7</f>
        <v>312</v>
      </c>
      <c r="U7" s="181" t="n">
        <f aca="false">G7+T7</f>
        <v>1625.88888888889</v>
      </c>
      <c r="IX7" s="133"/>
    </row>
    <row r="8" s="135" customFormat="true" ht="13.8" hidden="false" customHeight="false" outlineLevel="0" collapsed="false">
      <c r="A8" s="154" t="s">
        <v>183</v>
      </c>
      <c r="B8" s="155" t="n">
        <v>4</v>
      </c>
      <c r="C8" s="153" t="n">
        <v>2100</v>
      </c>
      <c r="D8" s="153" t="n">
        <f aca="false">C8/12</f>
        <v>175</v>
      </c>
      <c r="E8" s="153" t="n">
        <f aca="false">C8/12</f>
        <v>175</v>
      </c>
      <c r="F8" s="153" t="n">
        <f aca="false">D8/3</f>
        <v>58.3333333333333</v>
      </c>
      <c r="G8" s="153" t="n">
        <f aca="false">(SUM(C8:F8))*B8</f>
        <v>10033.3333333333</v>
      </c>
      <c r="H8" s="153" t="n">
        <f aca="false">C8*0.08</f>
        <v>168</v>
      </c>
      <c r="I8" s="153" t="n">
        <f aca="false">H8*0.5</f>
        <v>84</v>
      </c>
      <c r="J8" s="147"/>
      <c r="K8" s="153" t="n">
        <v>0</v>
      </c>
      <c r="L8" s="153" t="n">
        <v>0</v>
      </c>
      <c r="M8" s="153"/>
      <c r="N8" s="153" t="n">
        <v>0</v>
      </c>
      <c r="O8" s="153" t="n">
        <v>0</v>
      </c>
      <c r="P8" s="153" t="n">
        <v>0</v>
      </c>
      <c r="Q8" s="153"/>
      <c r="R8" s="153" t="n">
        <v>0</v>
      </c>
      <c r="S8" s="153" t="n">
        <f aca="false">9*20</f>
        <v>180</v>
      </c>
      <c r="T8" s="153" t="n">
        <f aca="false">(SUM(H8:S8))*B8</f>
        <v>1728</v>
      </c>
      <c r="U8" s="181" t="n">
        <f aca="false">G8+T8</f>
        <v>11761.3333333333</v>
      </c>
      <c r="IX8" s="133"/>
    </row>
    <row r="9" s="135" customFormat="true" ht="13.8" hidden="false" customHeight="false" outlineLevel="0" collapsed="false">
      <c r="A9" s="151" t="s">
        <v>185</v>
      </c>
      <c r="B9" s="152" t="n">
        <v>1</v>
      </c>
      <c r="C9" s="153" t="n">
        <v>2000</v>
      </c>
      <c r="D9" s="153" t="n">
        <f aca="false">C9/12</f>
        <v>166.666666666667</v>
      </c>
      <c r="E9" s="153" t="n">
        <f aca="false">C9/12</f>
        <v>166.666666666667</v>
      </c>
      <c r="F9" s="153" t="n">
        <f aca="false">D9/3</f>
        <v>55.5555555555556</v>
      </c>
      <c r="G9" s="153" t="n">
        <f aca="false">(SUM(C9:F9))*B9</f>
        <v>2388.88888888889</v>
      </c>
      <c r="H9" s="153" t="n">
        <f aca="false">C9*0.08</f>
        <v>160</v>
      </c>
      <c r="I9" s="153" t="n">
        <f aca="false">H9*0.5</f>
        <v>80</v>
      </c>
      <c r="J9" s="147"/>
      <c r="K9" s="153" t="n">
        <v>0</v>
      </c>
      <c r="L9" s="153" t="n">
        <v>0</v>
      </c>
      <c r="M9" s="153"/>
      <c r="N9" s="153" t="n">
        <v>0</v>
      </c>
      <c r="O9" s="153" t="n">
        <v>0</v>
      </c>
      <c r="P9" s="153" t="n">
        <v>0</v>
      </c>
      <c r="Q9" s="153"/>
      <c r="R9" s="153" t="n">
        <v>0</v>
      </c>
      <c r="S9" s="153" t="n">
        <f aca="false">9*20</f>
        <v>180</v>
      </c>
      <c r="T9" s="153" t="n">
        <f aca="false">(SUM(H9:S9))*B9</f>
        <v>420</v>
      </c>
      <c r="U9" s="181" t="n">
        <f aca="false">G9+T9</f>
        <v>2808.88888888889</v>
      </c>
      <c r="IX9" s="133"/>
    </row>
    <row r="10" s="135" customFormat="true" ht="13.8" hidden="false" customHeight="false" outlineLevel="0" collapsed="false">
      <c r="A10" s="151"/>
      <c r="B10" s="152"/>
      <c r="C10" s="153" t="n">
        <v>0</v>
      </c>
      <c r="D10" s="153" t="n">
        <f aca="false">C10/12</f>
        <v>0</v>
      </c>
      <c r="E10" s="153" t="n">
        <f aca="false">C10/12</f>
        <v>0</v>
      </c>
      <c r="F10" s="153" t="n">
        <f aca="false">D10/3</f>
        <v>0</v>
      </c>
      <c r="G10" s="153" t="n">
        <f aca="false">(SUM(C10:F10))*B10</f>
        <v>0</v>
      </c>
      <c r="H10" s="153" t="n">
        <f aca="false">C10*0.08</f>
        <v>0</v>
      </c>
      <c r="I10" s="153" t="n">
        <f aca="false">H10*0.5</f>
        <v>0</v>
      </c>
      <c r="J10" s="147" t="n">
        <f aca="false">(G10*0.2)</f>
        <v>0</v>
      </c>
      <c r="K10" s="153" t="n">
        <v>0</v>
      </c>
      <c r="L10" s="153" t="n">
        <v>0</v>
      </c>
      <c r="M10" s="153"/>
      <c r="N10" s="153" t="n">
        <v>0</v>
      </c>
      <c r="O10" s="153" t="n">
        <v>0</v>
      </c>
      <c r="P10" s="153" t="n">
        <v>0</v>
      </c>
      <c r="Q10" s="153"/>
      <c r="R10" s="153" t="n">
        <v>0</v>
      </c>
      <c r="S10" s="153"/>
      <c r="T10" s="153" t="n">
        <f aca="false">(SUM(H10:S10))*B10</f>
        <v>0</v>
      </c>
      <c r="U10" s="181" t="n">
        <f aca="false">G10+T10</f>
        <v>0</v>
      </c>
      <c r="IX10" s="133"/>
    </row>
    <row r="11" s="135" customFormat="true" ht="13.8" hidden="false" customHeight="false" outlineLevel="0" collapsed="false">
      <c r="A11" s="151"/>
      <c r="B11" s="152"/>
      <c r="C11" s="153" t="n">
        <v>0</v>
      </c>
      <c r="D11" s="153" t="n">
        <f aca="false">C11/12</f>
        <v>0</v>
      </c>
      <c r="E11" s="153" t="n">
        <f aca="false">C11/12</f>
        <v>0</v>
      </c>
      <c r="F11" s="153" t="n">
        <f aca="false">D11/3</f>
        <v>0</v>
      </c>
      <c r="G11" s="153" t="n">
        <f aca="false">(SUM(C11:F11))*B11</f>
        <v>0</v>
      </c>
      <c r="H11" s="153" t="n">
        <f aca="false">C11*0.08</f>
        <v>0</v>
      </c>
      <c r="I11" s="153" t="n">
        <f aca="false">H11*0.5</f>
        <v>0</v>
      </c>
      <c r="J11" s="147" t="n">
        <f aca="false">(G11*0.2)</f>
        <v>0</v>
      </c>
      <c r="K11" s="153" t="n">
        <v>0</v>
      </c>
      <c r="L11" s="153" t="n">
        <v>0</v>
      </c>
      <c r="M11" s="153" t="n">
        <f aca="false">G11*0.01</f>
        <v>0</v>
      </c>
      <c r="N11" s="153" t="n">
        <v>0</v>
      </c>
      <c r="O11" s="153" t="n">
        <v>0</v>
      </c>
      <c r="P11" s="153" t="n">
        <v>0</v>
      </c>
      <c r="Q11" s="153"/>
      <c r="R11" s="153" t="n">
        <v>0</v>
      </c>
      <c r="S11" s="153"/>
      <c r="T11" s="153" t="n">
        <f aca="false">(SUM(H11:S11))*B11</f>
        <v>0</v>
      </c>
      <c r="U11" s="181" t="n">
        <f aca="false">G11+T11</f>
        <v>0</v>
      </c>
      <c r="IX11" s="133"/>
    </row>
    <row r="12" s="150" customFormat="true" ht="13.8" hidden="false" customHeight="false" outlineLevel="0" collapsed="false">
      <c r="A12" s="154"/>
      <c r="B12" s="155"/>
      <c r="C12" s="153" t="n">
        <v>0</v>
      </c>
      <c r="D12" s="153" t="n">
        <f aca="false">C12/12</f>
        <v>0</v>
      </c>
      <c r="E12" s="153" t="n">
        <f aca="false">C12/12</f>
        <v>0</v>
      </c>
      <c r="F12" s="153" t="n">
        <f aca="false">D12/3</f>
        <v>0</v>
      </c>
      <c r="G12" s="153" t="n">
        <f aca="false">(SUM(C12:F12))*B12</f>
        <v>0</v>
      </c>
      <c r="H12" s="153" t="n">
        <f aca="false">C12*0.08</f>
        <v>0</v>
      </c>
      <c r="I12" s="153" t="n">
        <f aca="false">H12*0.5</f>
        <v>0</v>
      </c>
      <c r="J12" s="147" t="n">
        <f aca="false">(G12*0.2)</f>
        <v>0</v>
      </c>
      <c r="K12" s="153" t="n">
        <v>0</v>
      </c>
      <c r="L12" s="153" t="n">
        <v>0</v>
      </c>
      <c r="M12" s="153" t="n">
        <f aca="false">G12*0.01</f>
        <v>0</v>
      </c>
      <c r="N12" s="153" t="n">
        <v>0</v>
      </c>
      <c r="O12" s="153" t="n">
        <v>0</v>
      </c>
      <c r="P12" s="153" t="n">
        <v>0</v>
      </c>
      <c r="Q12" s="153"/>
      <c r="R12" s="153" t="n">
        <v>0</v>
      </c>
      <c r="S12" s="153"/>
      <c r="T12" s="153" t="n">
        <f aca="false">(SUM(H12:S12))*B12</f>
        <v>0</v>
      </c>
      <c r="U12" s="181" t="n">
        <f aca="false">G12+T12</f>
        <v>0</v>
      </c>
      <c r="V12" s="156"/>
      <c r="W12" s="156"/>
    </row>
    <row r="13" s="150" customFormat="true" ht="13.8" hidden="false" customHeight="false" outlineLevel="0" collapsed="false">
      <c r="A13" s="154"/>
      <c r="B13" s="155"/>
      <c r="C13" s="153" t="n">
        <v>0</v>
      </c>
      <c r="D13" s="153" t="n">
        <f aca="false">C13/12</f>
        <v>0</v>
      </c>
      <c r="E13" s="153" t="n">
        <f aca="false">C13/12</f>
        <v>0</v>
      </c>
      <c r="F13" s="153" t="n">
        <f aca="false">D13/3</f>
        <v>0</v>
      </c>
      <c r="G13" s="153" t="n">
        <f aca="false">(SUM(C13:F13))*B13</f>
        <v>0</v>
      </c>
      <c r="H13" s="153" t="n">
        <f aca="false">C13*0.08</f>
        <v>0</v>
      </c>
      <c r="I13" s="153" t="n">
        <f aca="false">H13*0.5</f>
        <v>0</v>
      </c>
      <c r="J13" s="147" t="n">
        <f aca="false">(G13*0.2)</f>
        <v>0</v>
      </c>
      <c r="K13" s="153" t="n">
        <v>0</v>
      </c>
      <c r="L13" s="153" t="n">
        <v>0</v>
      </c>
      <c r="M13" s="153" t="n">
        <f aca="false">G13*0.01</f>
        <v>0</v>
      </c>
      <c r="N13" s="153" t="n">
        <v>0</v>
      </c>
      <c r="O13" s="153" t="n">
        <v>0</v>
      </c>
      <c r="P13" s="153" t="n">
        <v>0</v>
      </c>
      <c r="Q13" s="153"/>
      <c r="R13" s="153" t="n">
        <v>0</v>
      </c>
      <c r="S13" s="153"/>
      <c r="T13" s="153" t="n">
        <f aca="false">(SUM(H13:S13))*B13</f>
        <v>0</v>
      </c>
      <c r="U13" s="181" t="n">
        <f aca="false">G13+T13</f>
        <v>0</v>
      </c>
      <c r="V13" s="156"/>
      <c r="W13" s="156"/>
    </row>
    <row r="14" s="150" customFormat="true" ht="13.8" hidden="false" customHeight="false" outlineLevel="0" collapsed="false">
      <c r="A14" s="154"/>
      <c r="B14" s="155"/>
      <c r="C14" s="153" t="n">
        <v>0</v>
      </c>
      <c r="D14" s="153" t="n">
        <f aca="false">C14/12</f>
        <v>0</v>
      </c>
      <c r="E14" s="153" t="n">
        <f aca="false">C14/12</f>
        <v>0</v>
      </c>
      <c r="F14" s="153" t="n">
        <f aca="false">D14/3</f>
        <v>0</v>
      </c>
      <c r="G14" s="153" t="n">
        <f aca="false">(SUM(C14:F14))*B14</f>
        <v>0</v>
      </c>
      <c r="H14" s="153" t="n">
        <f aca="false">C14*0.08</f>
        <v>0</v>
      </c>
      <c r="I14" s="153" t="n">
        <f aca="false">H14*0.5</f>
        <v>0</v>
      </c>
      <c r="J14" s="147" t="n">
        <f aca="false">(G14*0.2)</f>
        <v>0</v>
      </c>
      <c r="K14" s="153" t="n">
        <v>0</v>
      </c>
      <c r="L14" s="153" t="n">
        <v>0</v>
      </c>
      <c r="M14" s="153" t="n">
        <f aca="false">G14*0.01</f>
        <v>0</v>
      </c>
      <c r="N14" s="153" t="n">
        <v>0</v>
      </c>
      <c r="O14" s="153" t="n">
        <v>0</v>
      </c>
      <c r="P14" s="153" t="n">
        <v>0</v>
      </c>
      <c r="Q14" s="153"/>
      <c r="R14" s="153" t="n">
        <v>0</v>
      </c>
      <c r="S14" s="153"/>
      <c r="T14" s="153" t="n">
        <f aca="false">(SUM(H14:S14))*B14</f>
        <v>0</v>
      </c>
      <c r="U14" s="181" t="n">
        <f aca="false">G14+T14</f>
        <v>0</v>
      </c>
      <c r="V14" s="156"/>
      <c r="W14" s="156"/>
    </row>
    <row r="15" s="150" customFormat="true" ht="13.8" hidden="false" customHeight="false" outlineLevel="0" collapsed="false">
      <c r="A15" s="154"/>
      <c r="B15" s="155"/>
      <c r="C15" s="153" t="n">
        <v>0</v>
      </c>
      <c r="D15" s="153" t="n">
        <f aca="false">C15/12</f>
        <v>0</v>
      </c>
      <c r="E15" s="153" t="n">
        <f aca="false">C15/12</f>
        <v>0</v>
      </c>
      <c r="F15" s="153" t="n">
        <f aca="false">D15/3</f>
        <v>0</v>
      </c>
      <c r="G15" s="153" t="n">
        <f aca="false">(SUM(C15:F15))*B15</f>
        <v>0</v>
      </c>
      <c r="H15" s="153" t="n">
        <f aca="false">C15*0.08</f>
        <v>0</v>
      </c>
      <c r="I15" s="153" t="n">
        <f aca="false">H15*0.5</f>
        <v>0</v>
      </c>
      <c r="J15" s="147" t="n">
        <f aca="false">(G15*0.2)</f>
        <v>0</v>
      </c>
      <c r="K15" s="153" t="n">
        <v>0</v>
      </c>
      <c r="L15" s="153" t="n">
        <v>0</v>
      </c>
      <c r="M15" s="153" t="n">
        <f aca="false">G15*0.01</f>
        <v>0</v>
      </c>
      <c r="N15" s="153" t="n">
        <v>0</v>
      </c>
      <c r="O15" s="153" t="n">
        <v>0</v>
      </c>
      <c r="P15" s="153" t="n">
        <v>0</v>
      </c>
      <c r="Q15" s="153"/>
      <c r="R15" s="153" t="n">
        <v>0</v>
      </c>
      <c r="S15" s="153"/>
      <c r="T15" s="153" t="n">
        <f aca="false">(SUM(H15:S15))*B15</f>
        <v>0</v>
      </c>
      <c r="U15" s="181" t="n">
        <f aca="false">G15+T15</f>
        <v>0</v>
      </c>
      <c r="V15" s="156"/>
      <c r="W15" s="156"/>
    </row>
    <row r="16" s="135" customFormat="true" ht="13.8" hidden="false" customHeight="false" outlineLevel="0" collapsed="false">
      <c r="A16" s="154"/>
      <c r="B16" s="155"/>
      <c r="C16" s="153" t="n">
        <v>0</v>
      </c>
      <c r="D16" s="153"/>
      <c r="E16" s="153"/>
      <c r="F16" s="153" t="n">
        <f aca="false">D16/3</f>
        <v>0</v>
      </c>
      <c r="G16" s="153" t="n">
        <f aca="false">(SUM(C16:F16))*B16</f>
        <v>0</v>
      </c>
      <c r="H16" s="153" t="n">
        <f aca="false">C16*0.08</f>
        <v>0</v>
      </c>
      <c r="I16" s="153" t="n">
        <f aca="false">H16*0.5</f>
        <v>0</v>
      </c>
      <c r="J16" s="147" t="n">
        <f aca="false">(G16*0.2)</f>
        <v>0</v>
      </c>
      <c r="K16" s="153" t="n">
        <v>0</v>
      </c>
      <c r="L16" s="153" t="n">
        <v>0</v>
      </c>
      <c r="M16" s="153" t="n">
        <f aca="false">G16*0.01</f>
        <v>0</v>
      </c>
      <c r="N16" s="153" t="n">
        <v>0</v>
      </c>
      <c r="O16" s="153" t="n">
        <v>0</v>
      </c>
      <c r="P16" s="153" t="n">
        <v>0</v>
      </c>
      <c r="Q16" s="153"/>
      <c r="R16" s="153" t="n">
        <v>0</v>
      </c>
      <c r="S16" s="153"/>
      <c r="T16" s="153" t="n">
        <f aca="false">(SUM(H16:S16))*B16</f>
        <v>0</v>
      </c>
      <c r="U16" s="181" t="n">
        <f aca="false">G16+T16</f>
        <v>0</v>
      </c>
      <c r="V16" s="156"/>
      <c r="W16" s="156"/>
      <c r="IX16" s="133"/>
    </row>
    <row r="17" s="135" customFormat="true" ht="13.8" hidden="false" customHeight="false" outlineLevel="0" collapsed="false">
      <c r="A17" s="154"/>
      <c r="B17" s="155"/>
      <c r="C17" s="153" t="n">
        <v>0</v>
      </c>
      <c r="D17" s="153" t="n">
        <f aca="false">C17/12</f>
        <v>0</v>
      </c>
      <c r="E17" s="153" t="n">
        <f aca="false">C17/12</f>
        <v>0</v>
      </c>
      <c r="F17" s="153" t="n">
        <f aca="false">D17/3</f>
        <v>0</v>
      </c>
      <c r="G17" s="153" t="n">
        <f aca="false">(SUM(C17:F17))*B17</f>
        <v>0</v>
      </c>
      <c r="H17" s="153" t="n">
        <f aca="false">C17*0.08</f>
        <v>0</v>
      </c>
      <c r="I17" s="153" t="n">
        <f aca="false">H17*0.5</f>
        <v>0</v>
      </c>
      <c r="J17" s="147" t="n">
        <f aca="false">(G17*0.2)</f>
        <v>0</v>
      </c>
      <c r="K17" s="153" t="n">
        <v>0</v>
      </c>
      <c r="L17" s="153" t="n">
        <v>0</v>
      </c>
      <c r="M17" s="153" t="n">
        <f aca="false">G17*0.01</f>
        <v>0</v>
      </c>
      <c r="N17" s="153" t="n">
        <v>0</v>
      </c>
      <c r="O17" s="153" t="n">
        <v>0</v>
      </c>
      <c r="P17" s="153" t="n">
        <v>0</v>
      </c>
      <c r="Q17" s="153"/>
      <c r="R17" s="153" t="n">
        <v>0</v>
      </c>
      <c r="S17" s="153"/>
      <c r="T17" s="153" t="n">
        <f aca="false">(SUM(H17:S17))*B17</f>
        <v>0</v>
      </c>
      <c r="U17" s="181" t="n">
        <f aca="false">G17+T17</f>
        <v>0</v>
      </c>
      <c r="V17" s="156"/>
      <c r="W17" s="156"/>
      <c r="IX17" s="133"/>
    </row>
    <row r="18" s="135" customFormat="true" ht="13.8" hidden="false" customHeight="false" outlineLevel="0" collapsed="false">
      <c r="A18" s="157"/>
      <c r="B18" s="158"/>
      <c r="C18" s="159" t="n">
        <v>0</v>
      </c>
      <c r="D18" s="159" t="n">
        <f aca="false">C18/12</f>
        <v>0</v>
      </c>
      <c r="E18" s="159" t="n">
        <f aca="false">C18/12</f>
        <v>0</v>
      </c>
      <c r="F18" s="159" t="n">
        <f aca="false">D18/3</f>
        <v>0</v>
      </c>
      <c r="G18" s="153" t="n">
        <f aca="false">(SUM(C18:F18))*B18</f>
        <v>0</v>
      </c>
      <c r="H18" s="153" t="n">
        <f aca="false">C18*0.08</f>
        <v>0</v>
      </c>
      <c r="I18" s="159" t="n">
        <f aca="false">H18*0.5</f>
        <v>0</v>
      </c>
      <c r="J18" s="147" t="n">
        <f aca="false">(G18*0.2)</f>
        <v>0</v>
      </c>
      <c r="K18" s="159" t="n">
        <v>0</v>
      </c>
      <c r="L18" s="159" t="n">
        <v>0</v>
      </c>
      <c r="M18" s="159" t="n">
        <f aca="false">G18*0.01</f>
        <v>0</v>
      </c>
      <c r="N18" s="159" t="n">
        <v>0</v>
      </c>
      <c r="O18" s="159" t="n">
        <v>0</v>
      </c>
      <c r="P18" s="159" t="n">
        <v>0</v>
      </c>
      <c r="Q18" s="159"/>
      <c r="R18" s="159" t="n">
        <v>0</v>
      </c>
      <c r="S18" s="159"/>
      <c r="T18" s="153" t="n">
        <f aca="false">(SUM(H18:S18))*B18</f>
        <v>0</v>
      </c>
      <c r="U18" s="181" t="n">
        <f aca="false">G18+T18</f>
        <v>0</v>
      </c>
      <c r="V18" s="156"/>
      <c r="W18" s="156"/>
      <c r="IX18" s="133"/>
    </row>
    <row r="19" s="166" customFormat="true" ht="15.75" hidden="false" customHeight="false" outlineLevel="0" collapsed="false">
      <c r="A19" s="160" t="s">
        <v>178</v>
      </c>
      <c r="B19" s="160" t="n">
        <f aca="false">SUM(B5:B18)</f>
        <v>8</v>
      </c>
      <c r="C19" s="161" t="n">
        <f aca="false">SUM(C5:C18)</f>
        <v>7290.55</v>
      </c>
      <c r="D19" s="161" t="n">
        <f aca="false">SUM(D5:D18)</f>
        <v>607.545833333333</v>
      </c>
      <c r="E19" s="161" t="n">
        <f aca="false">SUM(E5:E18)</f>
        <v>607.545833333333</v>
      </c>
      <c r="F19" s="161" t="n">
        <f aca="false">SUM(F5:F18)</f>
        <v>202.515277777778</v>
      </c>
      <c r="G19" s="161" t="n">
        <f aca="false">SUM(G5:G18)</f>
        <v>16233.1569444444</v>
      </c>
      <c r="H19" s="162" t="n">
        <f aca="false">SUM(H5:H18)</f>
        <v>583.244</v>
      </c>
      <c r="I19" s="162" t="n">
        <f aca="false">SUM(I5:I18)</f>
        <v>291.622</v>
      </c>
      <c r="J19" s="162" t="n">
        <f aca="false">SUM(J5:J18)</f>
        <v>0</v>
      </c>
      <c r="K19" s="162" t="n">
        <f aca="false">SUM(K5:K18)</f>
        <v>0</v>
      </c>
      <c r="L19" s="162" t="n">
        <f aca="false">SUM(L5:L18)</f>
        <v>0</v>
      </c>
      <c r="M19" s="162" t="n">
        <f aca="false">SUM(M5:M18)</f>
        <v>0</v>
      </c>
      <c r="N19" s="162" t="n">
        <f aca="false">SUM(N5:N18)</f>
        <v>0</v>
      </c>
      <c r="O19" s="162" t="n">
        <f aca="false">SUM(O5:O18)</f>
        <v>0</v>
      </c>
      <c r="P19" s="162" t="n">
        <f aca="false">SUM(P5:P18)</f>
        <v>0</v>
      </c>
      <c r="Q19" s="162" t="n">
        <f aca="false">SUM(Q5:Q18)</f>
        <v>0</v>
      </c>
      <c r="R19" s="162" t="n">
        <f aca="false">SUM(R5:R18)</f>
        <v>0</v>
      </c>
      <c r="S19" s="162"/>
      <c r="T19" s="162" t="n">
        <f aca="false">SUM(T5:T18)</f>
        <v>3070.866</v>
      </c>
      <c r="U19" s="163" t="n">
        <f aca="false">SUM(U5:U18)</f>
        <v>19304.0229444444</v>
      </c>
      <c r="V19" s="164"/>
      <c r="W19" s="165"/>
    </row>
    <row r="20" customFormat="false" ht="15.75" hidden="false" customHeight="false" outlineLevel="0" collapsed="false">
      <c r="A20" s="167" t="s">
        <v>179</v>
      </c>
      <c r="B20" s="167"/>
      <c r="C20" s="168" t="n">
        <f aca="false">C19*10</f>
        <v>72905.5</v>
      </c>
      <c r="D20" s="169"/>
      <c r="E20" s="169"/>
      <c r="F20" s="169"/>
      <c r="G20" s="170" t="n">
        <f aca="false">G19*10</f>
        <v>162331.569444444</v>
      </c>
      <c r="H20" s="171" t="n">
        <f aca="false">H19*10</f>
        <v>5832.44</v>
      </c>
      <c r="I20" s="171" t="n">
        <f aca="false">I19*10</f>
        <v>2916.22</v>
      </c>
      <c r="J20" s="172" t="n">
        <f aca="false">J19*12</f>
        <v>0</v>
      </c>
      <c r="K20" s="173"/>
      <c r="L20" s="173"/>
      <c r="M20" s="172" t="n">
        <f aca="false">M19*10</f>
        <v>0</v>
      </c>
      <c r="N20" s="173"/>
      <c r="O20" s="173"/>
      <c r="P20" s="173"/>
      <c r="Q20" s="172" t="n">
        <f aca="false">Q19*12</f>
        <v>0</v>
      </c>
      <c r="R20" s="173"/>
      <c r="S20" s="173"/>
      <c r="T20" s="171" t="n">
        <f aca="false">T19*10</f>
        <v>30708.66</v>
      </c>
      <c r="U20" s="174" t="n">
        <f aca="false">U19*10</f>
        <v>193040.229444444</v>
      </c>
      <c r="IY20" s="0"/>
    </row>
    <row r="21" customFormat="false" ht="15" hidden="false" customHeight="false" outlineLevel="0" collapsed="false">
      <c r="A21" s="175"/>
      <c r="B21" s="175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7"/>
      <c r="IY21" s="0"/>
    </row>
    <row r="22" customFormat="false" ht="15" hidden="false" customHeight="false" outlineLevel="0" collapsed="false">
      <c r="A22" s="175"/>
      <c r="B22" s="175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7"/>
      <c r="IY22" s="0"/>
    </row>
    <row r="23" customFormat="false" ht="15" hidden="false" customHeight="false" outlineLevel="0" collapsed="false">
      <c r="A23" s="178" t="s">
        <v>180</v>
      </c>
      <c r="B23" s="178"/>
      <c r="U23" s="179"/>
      <c r="IY23" s="0"/>
    </row>
    <row r="24" customFormat="false" ht="15" hidden="false" customHeight="false" outlineLevel="0" collapsed="false">
      <c r="C24" s="133" t="s">
        <v>181</v>
      </c>
      <c r="D24" s="133" t="s">
        <v>148</v>
      </c>
      <c r="E24" s="133" t="s">
        <v>126</v>
      </c>
      <c r="L24" s="179"/>
      <c r="Q24" s="180"/>
      <c r="U24" s="180"/>
      <c r="IY24" s="0"/>
    </row>
    <row r="25" customFormat="false" ht="15" hidden="false" customHeight="false" outlineLevel="0" collapsed="false">
      <c r="A25" s="133" t="s">
        <v>167</v>
      </c>
      <c r="C25" s="133" t="n">
        <v>3</v>
      </c>
      <c r="D25" s="179" t="n">
        <v>1300</v>
      </c>
      <c r="E25" s="179" t="n">
        <f aca="false">C25*D25</f>
        <v>3900</v>
      </c>
      <c r="Q25" s="180"/>
      <c r="T25" s="180"/>
      <c r="IY25" s="0"/>
    </row>
    <row r="26" customFormat="false" ht="15" hidden="false" customHeight="false" outlineLevel="0" collapsed="false">
      <c r="A26" s="133" t="s">
        <v>169</v>
      </c>
      <c r="C26" s="133" t="n">
        <v>3</v>
      </c>
      <c r="D26" s="179" t="n">
        <v>1200</v>
      </c>
      <c r="E26" s="179" t="n">
        <f aca="false">C26*D26</f>
        <v>3600</v>
      </c>
      <c r="IY26" s="0"/>
    </row>
  </sheetData>
  <mergeCells count="6">
    <mergeCell ref="A1:U1"/>
    <mergeCell ref="A2:U2"/>
    <mergeCell ref="A3:A4"/>
    <mergeCell ref="B3:G3"/>
    <mergeCell ref="H3:T3"/>
    <mergeCell ref="U3:U4"/>
  </mergeCells>
  <printOptions headings="false" gridLines="false" gridLinesSet="true" horizontalCentered="true" verticalCentered="false"/>
  <pageMargins left="0" right="0" top="0.7875" bottom="0.7875" header="0.511805555555555" footer="0.511805555555555"/>
  <pageSetup paperSize="9" scale="7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41"/>
    <col collapsed="false" customWidth="true" hidden="false" outlineLevel="0" max="2" min="2" style="0" width="47.02"/>
    <col collapsed="false" customWidth="true" hidden="false" outlineLevel="0" max="7" min="3" style="0" width="16.71"/>
    <col collapsed="false" customWidth="true" hidden="false" outlineLevel="0" max="8" min="8" style="0" width="12.71"/>
    <col collapsed="false" customWidth="true" hidden="false" outlineLevel="0" max="10" min="9" style="0" width="18.71"/>
    <col collapsed="false" customWidth="true" hidden="false" outlineLevel="0" max="11" min="11" style="0" width="20.14"/>
    <col collapsed="false" customWidth="true" hidden="false" outlineLevel="0" max="1025" min="12" style="0" width="8.71"/>
  </cols>
  <sheetData>
    <row r="1" customFormat="false" ht="29.1" hidden="false" customHeight="true" outlineLevel="0" collapsed="false">
      <c r="A1" s="182" t="s">
        <v>186</v>
      </c>
      <c r="B1" s="182"/>
      <c r="C1" s="182"/>
      <c r="D1" s="182"/>
      <c r="E1" s="182"/>
      <c r="F1" s="182"/>
      <c r="G1" s="182"/>
      <c r="H1" s="182"/>
    </row>
    <row r="2" customFormat="false" ht="36.75" hidden="false" customHeight="true" outlineLevel="0" collapsed="false">
      <c r="A2" s="183" t="s">
        <v>187</v>
      </c>
      <c r="B2" s="183"/>
      <c r="C2" s="183"/>
      <c r="D2" s="183"/>
      <c r="E2" s="183"/>
      <c r="F2" s="183"/>
      <c r="G2" s="183"/>
      <c r="H2" s="182"/>
      <c r="I2" s="184"/>
      <c r="J2" s="184"/>
    </row>
    <row r="3" customFormat="false" ht="52.9" hidden="false" customHeight="true" outlineLevel="0" collapsed="false">
      <c r="A3" s="185" t="s">
        <v>188</v>
      </c>
      <c r="B3" s="186" t="s">
        <v>189</v>
      </c>
      <c r="C3" s="186" t="s">
        <v>190</v>
      </c>
      <c r="D3" s="186" t="s">
        <v>191</v>
      </c>
      <c r="E3" s="186" t="s">
        <v>192</v>
      </c>
      <c r="F3" s="187" t="s">
        <v>193</v>
      </c>
      <c r="G3" s="188" t="s">
        <v>194</v>
      </c>
      <c r="H3" s="189"/>
      <c r="I3" s="190"/>
    </row>
    <row r="4" customFormat="false" ht="18" hidden="false" customHeight="true" outlineLevel="0" collapsed="false">
      <c r="A4" s="191" t="n">
        <v>1</v>
      </c>
      <c r="B4" s="192" t="s">
        <v>195</v>
      </c>
      <c r="C4" s="193"/>
      <c r="D4" s="194"/>
      <c r="E4" s="195" t="n">
        <v>6857.71</v>
      </c>
      <c r="F4" s="196" t="n">
        <v>12</v>
      </c>
      <c r="G4" s="197" t="n">
        <f aca="false">E4*F4</f>
        <v>82292.52</v>
      </c>
      <c r="H4" s="198"/>
      <c r="I4" s="199"/>
    </row>
    <row r="5" customFormat="false" ht="18" hidden="false" customHeight="true" outlineLevel="0" collapsed="false">
      <c r="A5" s="191" t="n">
        <v>2</v>
      </c>
      <c r="B5" s="192" t="s">
        <v>196</v>
      </c>
      <c r="C5" s="193" t="n">
        <v>1</v>
      </c>
      <c r="D5" s="194" t="n">
        <v>2000</v>
      </c>
      <c r="E5" s="195" t="n">
        <f aca="false">D5*C5</f>
        <v>2000</v>
      </c>
      <c r="F5" s="196" t="n">
        <v>12</v>
      </c>
      <c r="G5" s="197" t="n">
        <f aca="false">E5*F5</f>
        <v>24000</v>
      </c>
      <c r="H5" s="198"/>
      <c r="I5" s="199"/>
    </row>
    <row r="6" customFormat="false" ht="18" hidden="false" customHeight="true" outlineLevel="0" collapsed="false">
      <c r="A6" s="191" t="n">
        <v>3</v>
      </c>
      <c r="B6" s="200" t="s">
        <v>197</v>
      </c>
      <c r="C6" s="201" t="n">
        <v>1</v>
      </c>
      <c r="D6" s="195" t="n">
        <v>180</v>
      </c>
      <c r="E6" s="195" t="n">
        <f aca="false">D6*C6</f>
        <v>180</v>
      </c>
      <c r="F6" s="202" t="n">
        <v>12</v>
      </c>
      <c r="G6" s="203" t="n">
        <f aca="false">E6*F6</f>
        <v>2160</v>
      </c>
      <c r="H6" s="198"/>
      <c r="I6" s="199"/>
    </row>
    <row r="7" customFormat="false" ht="18" hidden="false" customHeight="true" outlineLevel="0" collapsed="false">
      <c r="A7" s="191" t="n">
        <f aca="false">1+A6</f>
        <v>4</v>
      </c>
      <c r="B7" s="200" t="s">
        <v>198</v>
      </c>
      <c r="C7" s="201" t="n">
        <v>1</v>
      </c>
      <c r="D7" s="195" t="n">
        <v>3000</v>
      </c>
      <c r="E7" s="195" t="n">
        <f aca="false">D7*C7</f>
        <v>3000</v>
      </c>
      <c r="F7" s="202" t="n">
        <v>12</v>
      </c>
      <c r="G7" s="203" t="n">
        <f aca="false">E7*F7</f>
        <v>36000</v>
      </c>
      <c r="H7" s="198"/>
      <c r="I7" s="199"/>
    </row>
    <row r="8" customFormat="false" ht="18" hidden="false" customHeight="true" outlineLevel="0" collapsed="false">
      <c r="A8" s="191" t="n">
        <f aca="false">1+A7</f>
        <v>5</v>
      </c>
      <c r="B8" s="200" t="s">
        <v>198</v>
      </c>
      <c r="C8" s="201" t="n">
        <v>1</v>
      </c>
      <c r="D8" s="195" t="n">
        <v>3000</v>
      </c>
      <c r="E8" s="195" t="n">
        <f aca="false">D8*C8</f>
        <v>3000</v>
      </c>
      <c r="F8" s="202" t="n">
        <v>10</v>
      </c>
      <c r="G8" s="203" t="n">
        <f aca="false">E8*F8</f>
        <v>30000</v>
      </c>
      <c r="H8" s="198"/>
      <c r="I8" s="199"/>
    </row>
    <row r="9" customFormat="false" ht="18" hidden="false" customHeight="true" outlineLevel="0" collapsed="false">
      <c r="A9" s="191" t="n">
        <f aca="false">1+A8</f>
        <v>6</v>
      </c>
      <c r="B9" s="200" t="s">
        <v>198</v>
      </c>
      <c r="C9" s="201" t="n">
        <v>1</v>
      </c>
      <c r="D9" s="195" t="n">
        <v>1300</v>
      </c>
      <c r="E9" s="195" t="n">
        <f aca="false">D9*C9</f>
        <v>1300</v>
      </c>
      <c r="F9" s="202" t="n">
        <v>10</v>
      </c>
      <c r="G9" s="203" t="n">
        <f aca="false">E9*F9</f>
        <v>13000</v>
      </c>
      <c r="H9" s="198"/>
      <c r="I9" s="199"/>
    </row>
    <row r="10" customFormat="false" ht="18" hidden="false" customHeight="true" outlineLevel="0" collapsed="false">
      <c r="A10" s="191" t="n">
        <f aca="false">1+A9</f>
        <v>7</v>
      </c>
      <c r="B10" s="200" t="s">
        <v>198</v>
      </c>
      <c r="C10" s="201" t="n">
        <v>1</v>
      </c>
      <c r="D10" s="195" t="n">
        <v>800</v>
      </c>
      <c r="E10" s="195" t="n">
        <f aca="false">D10*C10</f>
        <v>800</v>
      </c>
      <c r="F10" s="202" t="n">
        <v>9</v>
      </c>
      <c r="G10" s="203" t="n">
        <f aca="false">E10*F10</f>
        <v>7200</v>
      </c>
      <c r="H10" s="198"/>
      <c r="I10" s="199"/>
      <c r="J10" s="204"/>
    </row>
    <row r="11" customFormat="false" ht="18" hidden="false" customHeight="true" outlineLevel="0" collapsed="false">
      <c r="A11" s="191" t="n">
        <f aca="false">1+A10</f>
        <v>8</v>
      </c>
      <c r="B11" s="200"/>
      <c r="C11" s="201"/>
      <c r="D11" s="195"/>
      <c r="E11" s="195" t="n">
        <f aca="false">D11*C11</f>
        <v>0</v>
      </c>
      <c r="F11" s="202"/>
      <c r="G11" s="203" t="n">
        <f aca="false">E11*F11</f>
        <v>0</v>
      </c>
      <c r="H11" s="198"/>
      <c r="I11" s="199"/>
    </row>
    <row r="12" customFormat="false" ht="18" hidden="false" customHeight="true" outlineLevel="0" collapsed="false">
      <c r="A12" s="191" t="n">
        <v>9</v>
      </c>
      <c r="B12" s="205"/>
      <c r="C12" s="206"/>
      <c r="D12" s="207"/>
      <c r="E12" s="207" t="n">
        <f aca="false">D12*C12</f>
        <v>0</v>
      </c>
      <c r="F12" s="208"/>
      <c r="G12" s="209" t="n">
        <f aca="false">E12*F12</f>
        <v>0</v>
      </c>
      <c r="H12" s="198"/>
      <c r="I12" s="199"/>
    </row>
    <row r="13" customFormat="false" ht="18" hidden="false" customHeight="true" outlineLevel="0" collapsed="false">
      <c r="A13" s="191" t="n">
        <v>10</v>
      </c>
      <c r="B13" s="205"/>
      <c r="C13" s="206"/>
      <c r="D13" s="207"/>
      <c r="E13" s="207" t="n">
        <f aca="false">D13*C13</f>
        <v>0</v>
      </c>
      <c r="F13" s="208"/>
      <c r="G13" s="209" t="n">
        <f aca="false">E13*F13</f>
        <v>0</v>
      </c>
      <c r="H13" s="198"/>
      <c r="I13" s="199"/>
    </row>
    <row r="14" customFormat="false" ht="18" hidden="false" customHeight="true" outlineLevel="0" collapsed="false">
      <c r="A14" s="210" t="n">
        <v>11</v>
      </c>
      <c r="B14" s="211"/>
      <c r="C14" s="212"/>
      <c r="D14" s="213"/>
      <c r="E14" s="207" t="n">
        <f aca="false">D14*C14</f>
        <v>0</v>
      </c>
      <c r="F14" s="214"/>
      <c r="G14" s="215" t="n">
        <f aca="false">D14</f>
        <v>0</v>
      </c>
      <c r="H14" s="198"/>
      <c r="I14" s="199"/>
    </row>
    <row r="15" customFormat="false" ht="18" hidden="false" customHeight="true" outlineLevel="0" collapsed="false">
      <c r="A15" s="216" t="n">
        <v>12</v>
      </c>
      <c r="B15" s="217"/>
      <c r="C15" s="218"/>
      <c r="D15" s="219"/>
      <c r="E15" s="207" t="n">
        <f aca="false">D15*C15</f>
        <v>0</v>
      </c>
      <c r="F15" s="220"/>
      <c r="G15" s="221" t="n">
        <f aca="false">C15*D15</f>
        <v>0</v>
      </c>
      <c r="H15" s="198"/>
      <c r="I15" s="199"/>
      <c r="J15" s="222"/>
    </row>
    <row r="16" customFormat="false" ht="18" hidden="false" customHeight="true" outlineLevel="0" collapsed="false">
      <c r="A16" s="216" t="n">
        <f aca="false">1+A15</f>
        <v>13</v>
      </c>
      <c r="B16" s="217"/>
      <c r="C16" s="218"/>
      <c r="D16" s="223"/>
      <c r="E16" s="207" t="n">
        <f aca="false">D16*C16</f>
        <v>0</v>
      </c>
      <c r="F16" s="220"/>
      <c r="G16" s="221" t="n">
        <f aca="false">C16*D16</f>
        <v>0</v>
      </c>
      <c r="H16" s="198"/>
      <c r="I16" s="199"/>
    </row>
    <row r="17" customFormat="false" ht="18" hidden="true" customHeight="true" outlineLevel="0" collapsed="false">
      <c r="A17" s="216" t="n">
        <f aca="false">1+A16</f>
        <v>14</v>
      </c>
      <c r="B17" s="217"/>
      <c r="C17" s="218"/>
      <c r="D17" s="219"/>
      <c r="E17" s="219"/>
      <c r="F17" s="220"/>
      <c r="G17" s="224"/>
      <c r="H17" s="198"/>
      <c r="I17" s="199"/>
    </row>
    <row r="18" customFormat="false" ht="18" hidden="true" customHeight="true" outlineLevel="0" collapsed="false">
      <c r="A18" s="216" t="n">
        <v>14</v>
      </c>
      <c r="B18" s="217"/>
      <c r="C18" s="218"/>
      <c r="D18" s="219"/>
      <c r="E18" s="219"/>
      <c r="F18" s="220"/>
      <c r="G18" s="224"/>
      <c r="H18" s="198"/>
      <c r="I18" s="199"/>
    </row>
    <row r="19" customFormat="false" ht="18" hidden="true" customHeight="true" outlineLevel="0" collapsed="false">
      <c r="A19" s="216" t="n">
        <v>15</v>
      </c>
      <c r="B19" s="217"/>
      <c r="C19" s="218"/>
      <c r="D19" s="219"/>
      <c r="E19" s="219"/>
      <c r="F19" s="220"/>
      <c r="G19" s="224"/>
      <c r="H19" s="198"/>
      <c r="I19" s="199"/>
    </row>
    <row r="20" customFormat="false" ht="18" hidden="true" customHeight="true" outlineLevel="0" collapsed="false">
      <c r="A20" s="216" t="n">
        <v>16</v>
      </c>
      <c r="B20" s="217"/>
      <c r="C20" s="218"/>
      <c r="D20" s="219"/>
      <c r="E20" s="219"/>
      <c r="F20" s="220"/>
      <c r="G20" s="224"/>
      <c r="H20" s="198"/>
      <c r="I20" s="199"/>
    </row>
    <row r="21" customFormat="false" ht="52.9" hidden="false" customHeight="true" outlineLevel="0" collapsed="false">
      <c r="A21" s="225" t="s">
        <v>199</v>
      </c>
      <c r="B21" s="225"/>
      <c r="C21" s="226" t="s">
        <v>111</v>
      </c>
      <c r="D21" s="226" t="s">
        <v>111</v>
      </c>
      <c r="E21" s="227" t="n">
        <f aca="false">SUM(E1:E20)</f>
        <v>17137.71</v>
      </c>
      <c r="F21" s="228" t="s">
        <v>111</v>
      </c>
      <c r="G21" s="229" t="n">
        <f aca="false">SUM(G4:G20)</f>
        <v>194652.52</v>
      </c>
      <c r="H21" s="230"/>
      <c r="I21" s="231"/>
    </row>
    <row r="22" s="232" customFormat="true" ht="37.5" hidden="false" customHeight="true" outlineLevel="0" collapsed="false">
      <c r="B22" s="233" t="s">
        <v>180</v>
      </c>
      <c r="C22" s="233"/>
      <c r="D22" s="233"/>
      <c r="E22" s="233"/>
      <c r="F22" s="233"/>
      <c r="G22" s="233"/>
      <c r="H22" s="234"/>
      <c r="I22" s="235"/>
    </row>
    <row r="23" customFormat="false" ht="31.5" hidden="false" customHeight="true" outlineLevel="0" collapsed="false">
      <c r="A23" s="236" t="n">
        <v>1</v>
      </c>
      <c r="B23" s="237" t="s">
        <v>200</v>
      </c>
      <c r="C23" s="237"/>
      <c r="D23" s="237"/>
      <c r="E23" s="237"/>
      <c r="F23" s="237"/>
    </row>
    <row r="24" customFormat="false" ht="31.5" hidden="false" customHeight="true" outlineLevel="0" collapsed="false">
      <c r="A24" s="236" t="n">
        <v>2</v>
      </c>
      <c r="B24" s="238" t="s">
        <v>201</v>
      </c>
      <c r="C24" s="239"/>
      <c r="D24" s="239"/>
      <c r="E24" s="239"/>
      <c r="F24" s="239"/>
    </row>
    <row r="25" customFormat="false" ht="39" hidden="false" customHeight="true" outlineLevel="0" collapsed="false">
      <c r="A25" s="236" t="n">
        <v>3</v>
      </c>
      <c r="B25" s="232" t="s">
        <v>202</v>
      </c>
    </row>
    <row r="26" customFormat="false" ht="21.75" hidden="false" customHeight="true" outlineLevel="0" collapsed="false">
      <c r="A26" s="0" t="s">
        <v>203</v>
      </c>
      <c r="B26" s="232" t="s">
        <v>204</v>
      </c>
    </row>
  </sheetData>
  <mergeCells count="6">
    <mergeCell ref="A1:G1"/>
    <mergeCell ref="A2:G2"/>
    <mergeCell ref="I2:J2"/>
    <mergeCell ref="A21:B21"/>
    <mergeCell ref="B22:G22"/>
    <mergeCell ref="B23:F23"/>
  </mergeCells>
  <printOptions headings="false" gridLines="false" gridLinesSet="true" horizontalCentered="true" verticalCentered="false"/>
  <pageMargins left="0.7875" right="0.7875" top="0.473611111111111" bottom="0.473611111111111" header="0.7875" footer="0.7875"/>
  <pageSetup paperSize="9" scale="8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colBreaks count="1" manualBreakCount="1">
    <brk id="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.7"/>
    <col collapsed="false" customWidth="true" hidden="false" outlineLevel="0" max="3" min="3" style="0" width="16.71"/>
    <col collapsed="false" customWidth="true" hidden="false" outlineLevel="0" max="6" min="4" style="0" width="16.29"/>
    <col collapsed="false" customWidth="true" hidden="false" outlineLevel="0" max="7" min="7" style="0" width="11.14"/>
    <col collapsed="false" customWidth="true" hidden="false" outlineLevel="0" max="8" min="8" style="0" width="10"/>
    <col collapsed="false" customWidth="true" hidden="false" outlineLevel="0" max="1025" min="9" style="0" width="8.71"/>
  </cols>
  <sheetData>
    <row r="1" customFormat="false" ht="29.1" hidden="false" customHeight="true" outlineLevel="0" collapsed="false">
      <c r="A1" s="182" t="s">
        <v>205</v>
      </c>
      <c r="B1" s="182"/>
      <c r="C1" s="182"/>
      <c r="D1" s="182"/>
      <c r="E1" s="182"/>
    </row>
    <row r="2" customFormat="false" ht="29.1" hidden="false" customHeight="true" outlineLevel="0" collapsed="false">
      <c r="A2" s="183" t="s">
        <v>206</v>
      </c>
      <c r="B2" s="183"/>
      <c r="C2" s="183"/>
      <c r="D2" s="183"/>
      <c r="E2" s="183"/>
    </row>
    <row r="3" s="238" customFormat="true" ht="33" hidden="false" customHeight="true" outlineLevel="0" collapsed="false">
      <c r="A3" s="240" t="s">
        <v>188</v>
      </c>
      <c r="B3" s="241" t="s">
        <v>207</v>
      </c>
      <c r="C3" s="241" t="s">
        <v>191</v>
      </c>
      <c r="D3" s="241" t="s">
        <v>190</v>
      </c>
      <c r="E3" s="242" t="s">
        <v>208</v>
      </c>
    </row>
    <row r="4" customFormat="false" ht="173.1" hidden="false" customHeight="true" outlineLevel="0" collapsed="false">
      <c r="A4" s="216" t="n">
        <v>1</v>
      </c>
      <c r="B4" s="243" t="s">
        <v>209</v>
      </c>
      <c r="C4" s="244" t="n">
        <v>500</v>
      </c>
      <c r="D4" s="245" t="n">
        <v>12</v>
      </c>
      <c r="E4" s="246" t="n">
        <f aca="false">C4*D4</f>
        <v>6000</v>
      </c>
      <c r="I4" s="247"/>
      <c r="J4" s="247"/>
      <c r="K4" s="247"/>
      <c r="L4" s="247"/>
    </row>
    <row r="5" customFormat="false" ht="68.45" hidden="false" customHeight="true" outlineLevel="0" collapsed="false">
      <c r="A5" s="216" t="n">
        <v>2</v>
      </c>
      <c r="B5" s="248" t="s">
        <v>210</v>
      </c>
      <c r="C5" s="244" t="n">
        <v>100</v>
      </c>
      <c r="D5" s="245" t="n">
        <v>12</v>
      </c>
      <c r="E5" s="224" t="n">
        <f aca="false">C5*D5</f>
        <v>1200</v>
      </c>
      <c r="H5" s="222"/>
      <c r="I5" s="247"/>
      <c r="J5" s="247"/>
      <c r="K5" s="247"/>
      <c r="L5" s="247"/>
    </row>
    <row r="6" customFormat="false" ht="53.25" hidden="false" customHeight="true" outlineLevel="0" collapsed="false">
      <c r="A6" s="249" t="s">
        <v>211</v>
      </c>
      <c r="B6" s="249"/>
      <c r="C6" s="250"/>
      <c r="D6" s="251"/>
      <c r="E6" s="252" t="n">
        <f aca="false">SUM(E4:E5)</f>
        <v>7200</v>
      </c>
      <c r="I6" s="247"/>
      <c r="J6" s="247"/>
      <c r="K6" s="247"/>
      <c r="L6" s="247"/>
    </row>
    <row r="7" s="253" customFormat="true" ht="24" hidden="false" customHeight="true" outlineLevel="0" collapsed="false">
      <c r="B7" s="254" t="s">
        <v>212</v>
      </c>
      <c r="C7" s="254"/>
      <c r="D7" s="254"/>
      <c r="E7" s="254"/>
    </row>
    <row r="8" customFormat="false" ht="28.5" hidden="false" customHeight="true" outlineLevel="0" collapsed="false">
      <c r="B8" s="232" t="s">
        <v>213</v>
      </c>
    </row>
  </sheetData>
  <mergeCells count="4">
    <mergeCell ref="A1:E1"/>
    <mergeCell ref="A2:E2"/>
    <mergeCell ref="A6:B6"/>
    <mergeCell ref="B7:E7"/>
  </mergeCells>
  <printOptions headings="false" gridLines="false" gridLinesSet="true" horizontalCentered="true" verticalCentered="true"/>
  <pageMargins left="0.7875" right="0.7875" top="1.05277777777778" bottom="1.05277777777778" header="0.7875" footer="0.7875"/>
  <pageSetup paperSize="9" scale="7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colBreaks count="1" manualBreakCount="1">
    <brk id="5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47.02"/>
    <col collapsed="false" customWidth="true" hidden="false" outlineLevel="0" max="5" min="3" style="0" width="16.71"/>
    <col collapsed="false" customWidth="true" hidden="false" outlineLevel="0" max="6" min="6" style="0" width="17.71"/>
    <col collapsed="false" customWidth="true" hidden="false" outlineLevel="0" max="7" min="7" style="0" width="19.42"/>
    <col collapsed="false" customWidth="true" hidden="false" outlineLevel="0" max="8" min="8" style="0" width="20.14"/>
    <col collapsed="false" customWidth="true" hidden="false" outlineLevel="0" max="1025" min="9" style="0" width="8.71"/>
  </cols>
  <sheetData>
    <row r="1" customFormat="false" ht="29.1" hidden="false" customHeight="true" outlineLevel="0" collapsed="false">
      <c r="A1" s="182" t="s">
        <v>214</v>
      </c>
      <c r="B1" s="182"/>
      <c r="C1" s="182"/>
      <c r="D1" s="182"/>
      <c r="E1" s="182"/>
    </row>
    <row r="2" customFormat="false" ht="29.1" hidden="false" customHeight="true" outlineLevel="0" collapsed="false">
      <c r="A2" s="183" t="s">
        <v>215</v>
      </c>
      <c r="B2" s="183"/>
      <c r="C2" s="183"/>
      <c r="D2" s="183"/>
      <c r="E2" s="183"/>
    </row>
    <row r="3" customFormat="false" ht="49.15" hidden="false" customHeight="true" outlineLevel="0" collapsed="false">
      <c r="A3" s="185" t="s">
        <v>188</v>
      </c>
      <c r="B3" s="186" t="s">
        <v>189</v>
      </c>
      <c r="C3" s="186" t="s">
        <v>190</v>
      </c>
      <c r="D3" s="186" t="s">
        <v>216</v>
      </c>
      <c r="E3" s="188" t="s">
        <v>217</v>
      </c>
      <c r="F3" s="255"/>
    </row>
    <row r="4" customFormat="false" ht="49.15" hidden="true" customHeight="true" outlineLevel="0" collapsed="false">
      <c r="A4" s="216" t="n">
        <v>1</v>
      </c>
      <c r="B4" s="256" t="s">
        <v>218</v>
      </c>
      <c r="C4" s="257" t="n">
        <v>0</v>
      </c>
      <c r="D4" s="244" t="e">
        <f aca="false">NA()</f>
        <v>#N/A</v>
      </c>
      <c r="E4" s="224" t="e">
        <f aca="false">D4*12</f>
        <v>#N/A</v>
      </c>
      <c r="F4" s="258"/>
    </row>
    <row r="5" customFormat="false" ht="49.15" hidden="false" customHeight="true" outlineLevel="0" collapsed="false">
      <c r="A5" s="216" t="n">
        <v>1</v>
      </c>
      <c r="B5" s="256" t="s">
        <v>219</v>
      </c>
      <c r="C5" s="259" t="n">
        <v>12</v>
      </c>
      <c r="D5" s="244" t="n">
        <v>166.67</v>
      </c>
      <c r="E5" s="224" t="n">
        <f aca="false">D5*12</f>
        <v>2000.04</v>
      </c>
      <c r="F5" s="258"/>
    </row>
    <row r="6" customFormat="false" ht="49.15" hidden="false" customHeight="true" outlineLevel="0" collapsed="false">
      <c r="A6" s="216" t="n">
        <v>2</v>
      </c>
      <c r="B6" s="256" t="s">
        <v>220</v>
      </c>
      <c r="C6" s="259" t="n">
        <v>12</v>
      </c>
      <c r="D6" s="244" t="n">
        <v>1347.6</v>
      </c>
      <c r="E6" s="224" t="n">
        <f aca="false">D6*12</f>
        <v>16171.2</v>
      </c>
      <c r="F6" s="258"/>
    </row>
    <row r="7" customFormat="false" ht="49.15" hidden="false" customHeight="true" outlineLevel="0" collapsed="false">
      <c r="A7" s="216" t="n">
        <v>3</v>
      </c>
      <c r="B7" s="256" t="s">
        <v>109</v>
      </c>
      <c r="C7" s="259" t="n">
        <v>2</v>
      </c>
      <c r="D7" s="244" t="n">
        <v>1100</v>
      </c>
      <c r="E7" s="224" t="n">
        <f aca="false">D7*2</f>
        <v>2200</v>
      </c>
      <c r="F7" s="258"/>
    </row>
    <row r="8" customFormat="false" ht="49.15" hidden="false" customHeight="true" outlineLevel="0" collapsed="false">
      <c r="A8" s="216" t="n">
        <v>4</v>
      </c>
      <c r="B8" s="256"/>
      <c r="C8" s="259"/>
      <c r="D8" s="244"/>
      <c r="E8" s="224" t="n">
        <f aca="false">D8*12</f>
        <v>0</v>
      </c>
      <c r="F8" s="260"/>
    </row>
    <row r="9" customFormat="false" ht="49.15" hidden="false" customHeight="true" outlineLevel="0" collapsed="false">
      <c r="A9" s="225" t="s">
        <v>221</v>
      </c>
      <c r="B9" s="225"/>
      <c r="C9" s="261"/>
      <c r="D9" s="227" t="n">
        <f aca="false">SUM(D5:D8)</f>
        <v>2614.27</v>
      </c>
      <c r="E9" s="229" t="n">
        <f aca="false">SUM(E5:E8)</f>
        <v>20371.24</v>
      </c>
      <c r="F9" s="262"/>
    </row>
    <row r="10" s="232" customFormat="true" ht="19.7" hidden="false" customHeight="true" outlineLevel="0" collapsed="false">
      <c r="B10" s="254" t="s">
        <v>212</v>
      </c>
      <c r="C10" s="254"/>
      <c r="D10" s="254"/>
      <c r="E10" s="254"/>
      <c r="F10" s="235"/>
    </row>
    <row r="11" customFormat="false" ht="34.9" hidden="false" customHeight="true" outlineLevel="0" collapsed="false">
      <c r="B11" s="232" t="s">
        <v>222</v>
      </c>
    </row>
    <row r="12" customFormat="false" ht="34.9" hidden="false" customHeight="true" outlineLevel="0" collapsed="false"/>
    <row r="13" customFormat="false" ht="34.9" hidden="false" customHeight="true" outlineLevel="0" collapsed="false"/>
    <row r="14" customFormat="false" ht="19.7" hidden="false" customHeight="true" outlineLevel="0" collapsed="false"/>
  </sheetData>
  <mergeCells count="4">
    <mergeCell ref="A1:E1"/>
    <mergeCell ref="A2:E2"/>
    <mergeCell ref="A9:B9"/>
    <mergeCell ref="B10:E10"/>
  </mergeCells>
  <printOptions headings="false" gridLines="false" gridLinesSet="true" horizontalCentered="true" verticalCentered="true"/>
  <pageMargins left="0.7875" right="0.7875" top="0.7875" bottom="0.7875" header="0.511805555555555" footer="0.511805555555555"/>
  <pageSetup paperSize="9" scale="81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47.02"/>
    <col collapsed="false" customWidth="true" hidden="false" outlineLevel="0" max="5" min="3" style="0" width="16.71"/>
    <col collapsed="false" customWidth="true" hidden="false" outlineLevel="0" max="6" min="6" style="0" width="17.71"/>
    <col collapsed="false" customWidth="true" hidden="false" outlineLevel="0" max="7" min="7" style="0" width="19.42"/>
    <col collapsed="false" customWidth="true" hidden="false" outlineLevel="0" max="8" min="8" style="0" width="20.14"/>
    <col collapsed="false" customWidth="true" hidden="false" outlineLevel="0" max="1025" min="9" style="0" width="8.71"/>
  </cols>
  <sheetData>
    <row r="1" customFormat="false" ht="29.1" hidden="false" customHeight="true" outlineLevel="0" collapsed="false">
      <c r="A1" s="182" t="s">
        <v>223</v>
      </c>
      <c r="B1" s="182"/>
      <c r="C1" s="182"/>
      <c r="D1" s="182"/>
      <c r="E1" s="182"/>
    </row>
    <row r="2" customFormat="false" ht="29.1" hidden="false" customHeight="true" outlineLevel="0" collapsed="false">
      <c r="A2" s="183" t="s">
        <v>224</v>
      </c>
      <c r="B2" s="183"/>
      <c r="C2" s="183"/>
      <c r="D2" s="183"/>
      <c r="E2" s="183"/>
    </row>
    <row r="3" customFormat="false" ht="49.15" hidden="false" customHeight="true" outlineLevel="0" collapsed="false">
      <c r="A3" s="185" t="s">
        <v>188</v>
      </c>
      <c r="B3" s="186" t="s">
        <v>189</v>
      </c>
      <c r="C3" s="186" t="s">
        <v>190</v>
      </c>
      <c r="D3" s="186" t="s">
        <v>191</v>
      </c>
      <c r="E3" s="188" t="s">
        <v>208</v>
      </c>
      <c r="F3" s="255"/>
    </row>
    <row r="4" customFormat="false" ht="49.15" hidden="true" customHeight="true" outlineLevel="0" collapsed="false">
      <c r="A4" s="216" t="n">
        <v>1</v>
      </c>
      <c r="B4" s="256" t="s">
        <v>218</v>
      </c>
      <c r="C4" s="257" t="n">
        <v>0</v>
      </c>
      <c r="D4" s="244" t="n">
        <v>0</v>
      </c>
      <c r="E4" s="224" t="n">
        <f aca="false">C4*D4</f>
        <v>0</v>
      </c>
      <c r="F4" s="258"/>
    </row>
    <row r="5" customFormat="false" ht="49.15" hidden="false" customHeight="true" outlineLevel="0" collapsed="false">
      <c r="A5" s="216" t="n">
        <v>1</v>
      </c>
      <c r="B5" s="263"/>
      <c r="C5" s="259"/>
      <c r="D5" s="244"/>
      <c r="E5" s="224" t="n">
        <f aca="false">C5*D5</f>
        <v>0</v>
      </c>
      <c r="F5" s="258"/>
    </row>
    <row r="6" customFormat="false" ht="49.15" hidden="true" customHeight="true" outlineLevel="0" collapsed="false">
      <c r="A6" s="216" t="n">
        <v>2</v>
      </c>
      <c r="B6" s="256"/>
      <c r="C6" s="259"/>
      <c r="D6" s="244"/>
      <c r="E6" s="224" t="n">
        <f aca="false">C6*D6</f>
        <v>0</v>
      </c>
      <c r="F6" s="258"/>
    </row>
    <row r="7" customFormat="false" ht="49.15" hidden="true" customHeight="true" outlineLevel="0" collapsed="false">
      <c r="A7" s="216" t="n">
        <v>3</v>
      </c>
      <c r="B7" s="256"/>
      <c r="C7" s="259"/>
      <c r="D7" s="244"/>
      <c r="E7" s="224" t="n">
        <f aca="false">C7*D7</f>
        <v>0</v>
      </c>
      <c r="F7" s="258"/>
    </row>
    <row r="8" customFormat="false" ht="49.15" hidden="true" customHeight="true" outlineLevel="0" collapsed="false">
      <c r="A8" s="216" t="n">
        <v>4</v>
      </c>
      <c r="B8" s="256"/>
      <c r="C8" s="259"/>
      <c r="D8" s="244"/>
      <c r="E8" s="224" t="n">
        <f aca="false">C8*D8</f>
        <v>0</v>
      </c>
      <c r="F8" s="260"/>
    </row>
    <row r="9" customFormat="false" ht="49.15" hidden="true" customHeight="true" outlineLevel="0" collapsed="false">
      <c r="A9" s="216" t="n">
        <v>5</v>
      </c>
      <c r="B9" s="256"/>
      <c r="C9" s="259"/>
      <c r="D9" s="244"/>
      <c r="E9" s="224" t="n">
        <f aca="false">C9*D9</f>
        <v>0</v>
      </c>
      <c r="F9" s="260"/>
    </row>
    <row r="10" customFormat="false" ht="49.15" hidden="true" customHeight="true" outlineLevel="0" collapsed="false">
      <c r="A10" s="216" t="n">
        <v>6</v>
      </c>
      <c r="B10" s="256"/>
      <c r="C10" s="259"/>
      <c r="D10" s="244"/>
      <c r="E10" s="224" t="n">
        <f aca="false">C10*D10</f>
        <v>0</v>
      </c>
      <c r="F10" s="258"/>
    </row>
    <row r="11" customFormat="false" ht="49.15" hidden="true" customHeight="true" outlineLevel="0" collapsed="false">
      <c r="A11" s="216" t="n">
        <v>4</v>
      </c>
      <c r="B11" s="256"/>
      <c r="C11" s="259"/>
      <c r="D11" s="244"/>
      <c r="E11" s="224" t="n">
        <f aca="false">C11*D11</f>
        <v>0</v>
      </c>
      <c r="F11" s="258"/>
    </row>
    <row r="12" customFormat="false" ht="49.15" hidden="true" customHeight="true" outlineLevel="0" collapsed="false">
      <c r="A12" s="216" t="n">
        <v>5</v>
      </c>
      <c r="B12" s="256"/>
      <c r="C12" s="259"/>
      <c r="D12" s="244"/>
      <c r="E12" s="224" t="n">
        <f aca="false">C12*D12</f>
        <v>0</v>
      </c>
      <c r="F12" s="258"/>
    </row>
    <row r="13" customFormat="false" ht="49.15" hidden="false" customHeight="true" outlineLevel="0" collapsed="false">
      <c r="A13" s="264" t="n">
        <v>2</v>
      </c>
      <c r="B13" s="217"/>
      <c r="C13" s="265"/>
      <c r="D13" s="219"/>
      <c r="E13" s="224" t="n">
        <f aca="false">C13*D13</f>
        <v>0</v>
      </c>
      <c r="F13" s="258"/>
    </row>
    <row r="14" customFormat="false" ht="49.15" hidden="false" customHeight="true" outlineLevel="0" collapsed="false">
      <c r="A14" s="264" t="n">
        <v>3</v>
      </c>
      <c r="B14" s="217"/>
      <c r="C14" s="265"/>
      <c r="D14" s="219"/>
      <c r="E14" s="224" t="n">
        <f aca="false">C14*D14</f>
        <v>0</v>
      </c>
      <c r="F14" s="258"/>
    </row>
    <row r="15" customFormat="false" ht="49.15" hidden="false" customHeight="true" outlineLevel="0" collapsed="false">
      <c r="A15" s="264" t="n">
        <v>4</v>
      </c>
      <c r="B15" s="217"/>
      <c r="C15" s="265"/>
      <c r="D15" s="219"/>
      <c r="E15" s="224" t="n">
        <f aca="false">C15*D15</f>
        <v>0</v>
      </c>
      <c r="F15" s="258"/>
    </row>
    <row r="16" customFormat="false" ht="49.15" hidden="false" customHeight="true" outlineLevel="0" collapsed="false">
      <c r="A16" s="264" t="n">
        <v>5</v>
      </c>
      <c r="B16" s="217"/>
      <c r="C16" s="265"/>
      <c r="D16" s="219"/>
      <c r="E16" s="224" t="n">
        <f aca="false">C16*D16</f>
        <v>0</v>
      </c>
      <c r="F16" s="258"/>
      <c r="G16" s="232"/>
    </row>
    <row r="17" customFormat="false" ht="49.15" hidden="false" customHeight="true" outlineLevel="0" collapsed="false">
      <c r="A17" s="225" t="s">
        <v>225</v>
      </c>
      <c r="B17" s="225"/>
      <c r="C17" s="261"/>
      <c r="D17" s="261"/>
      <c r="E17" s="266" t="n">
        <f aca="false">SUM(E4:E16)</f>
        <v>0</v>
      </c>
      <c r="F17" s="262"/>
    </row>
    <row r="18" s="232" customFormat="true" ht="36.75" hidden="false" customHeight="true" outlineLevel="0" collapsed="false">
      <c r="B18" s="267" t="s">
        <v>212</v>
      </c>
      <c r="C18" s="267"/>
      <c r="D18" s="267"/>
      <c r="E18" s="267"/>
      <c r="F18" s="235"/>
    </row>
    <row r="19" customFormat="false" ht="34.9" hidden="false" customHeight="true" outlineLevel="0" collapsed="false"/>
    <row r="20" customFormat="false" ht="34.9" hidden="false" customHeight="true" outlineLevel="0" collapsed="false"/>
    <row r="21" customFormat="false" ht="34.9" hidden="false" customHeight="true" outlineLevel="0" collapsed="false"/>
    <row r="22" customFormat="false" ht="19.7" hidden="false" customHeight="true" outlineLevel="0" collapsed="false"/>
  </sheetData>
  <mergeCells count="4">
    <mergeCell ref="A1:E1"/>
    <mergeCell ref="A2:E2"/>
    <mergeCell ref="A17:B17"/>
    <mergeCell ref="B18:E18"/>
  </mergeCells>
  <printOptions headings="false" gridLines="false" gridLinesSet="true" horizontalCentered="true" verticalCentered="true"/>
  <pageMargins left="0.7875" right="0.7875" top="0.7875" bottom="0.78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LibreOffice/5.3.6.1$Windows_X86_64 LibreOffice_project/686f202eff87ef707079aeb7f485847613344eb7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2017-12-20T18:39:01Z</dcterms:created>
  <dc:creator>emc057416</dc:creator>
  <dc:description/>
  <dc:language>pt-BR</dc:language>
  <cp:lastModifiedBy/>
  <cp:lastPrinted>2019-05-30T12:08:12Z</cp:lastPrinted>
  <dcterms:modified xsi:type="dcterms:W3CDTF">2019-05-30T12:14:42Z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